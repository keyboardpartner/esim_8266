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PlatformIO\Projects\esim_uploader\docs\"/>
    </mc:Choice>
  </mc:AlternateContent>
  <bookViews>
    <workbookView xWindow="0" yWindow="0" windowWidth="33060" windowHeight="17085" activeTab="2"/>
  </bookViews>
  <sheets>
    <sheet name="Nach FPGA Pin" sheetId="1" r:id="rId1"/>
    <sheet name="Nach SV Pin" sheetId="2" r:id="rId2"/>
    <sheet name="Custom SV2" sheetId="4" r:id="rId3"/>
    <sheet name="Nach EPROM-Pin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9" i="4" l="1"/>
  <c r="G50" i="4"/>
  <c r="G51" i="4"/>
  <c r="G52" i="4"/>
  <c r="G4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B27" i="4"/>
  <c r="G27" i="4" s="1"/>
  <c r="B28" i="4"/>
  <c r="G28" i="4" s="1"/>
  <c r="B29" i="4"/>
  <c r="G29" i="4" s="1"/>
  <c r="B30" i="4"/>
  <c r="G30" i="4" s="1"/>
  <c r="B31" i="4"/>
  <c r="G31" i="4" s="1"/>
  <c r="B32" i="4"/>
  <c r="G32" i="4" s="1"/>
  <c r="B33" i="4"/>
  <c r="G33" i="4" s="1"/>
  <c r="G34" i="4"/>
  <c r="G35" i="4"/>
  <c r="G36" i="4"/>
  <c r="G37" i="4"/>
  <c r="G38" i="4"/>
  <c r="G39" i="4"/>
  <c r="G40" i="4"/>
  <c r="G41" i="4"/>
  <c r="B42" i="4"/>
  <c r="G42" i="4" s="1"/>
  <c r="G43" i="4"/>
  <c r="B44" i="4"/>
  <c r="G44" i="4" s="1"/>
  <c r="G45" i="4"/>
  <c r="G47" i="4"/>
  <c r="G48" i="4"/>
  <c r="G64" i="2" l="1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63" i="2"/>
  <c r="I23" i="3" l="1"/>
  <c r="I24" i="3"/>
  <c r="I22" i="3"/>
  <c r="I29" i="3"/>
  <c r="I25" i="3"/>
  <c r="I28" i="3"/>
  <c r="I27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G58" i="2"/>
  <c r="G59" i="2"/>
  <c r="G60" i="2"/>
  <c r="G61" i="2"/>
  <c r="G62" i="2"/>
  <c r="G101" i="2"/>
  <c r="G102" i="2"/>
  <c r="G57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8" i="2"/>
</calcChain>
</file>

<file path=xl/sharedStrings.xml><?xml version="1.0" encoding="utf-8"?>
<sst xmlns="http://schemas.openxmlformats.org/spreadsheetml/2006/main" count="899" uniqueCount="328">
  <si>
    <t>P144</t>
  </si>
  <si>
    <t xml:space="preserve">IO_L1P_HSWAPEN_0 </t>
  </si>
  <si>
    <t>P143</t>
  </si>
  <si>
    <t xml:space="preserve">IO_L1N_VREF_0 </t>
  </si>
  <si>
    <t>P142</t>
  </si>
  <si>
    <t xml:space="preserve">IO_L2P_0 </t>
  </si>
  <si>
    <t>P141</t>
  </si>
  <si>
    <t xml:space="preserve">IO_L2N_0 </t>
  </si>
  <si>
    <t>P140</t>
  </si>
  <si>
    <t xml:space="preserve">IO_L3P_0 </t>
  </si>
  <si>
    <t>P139</t>
  </si>
  <si>
    <t xml:space="preserve">IO_L3N_0 </t>
  </si>
  <si>
    <t>P138</t>
  </si>
  <si>
    <t xml:space="preserve">IO_L4P_0 </t>
  </si>
  <si>
    <t>P137</t>
  </si>
  <si>
    <t xml:space="preserve">IO_L4N_0 </t>
  </si>
  <si>
    <t>P134</t>
  </si>
  <si>
    <t xml:space="preserve">IO_L34P_GCLK19_0 </t>
  </si>
  <si>
    <t>P133</t>
  </si>
  <si>
    <t xml:space="preserve">IO_L34N_GCLK18_0 </t>
  </si>
  <si>
    <t>P132</t>
  </si>
  <si>
    <t xml:space="preserve">IO_L35P_GCLK17_0 </t>
  </si>
  <si>
    <t>P131</t>
  </si>
  <si>
    <t xml:space="preserve">IO_L35N_GCLK16_0 </t>
  </si>
  <si>
    <t>P127</t>
  </si>
  <si>
    <t xml:space="preserve">IO_L36P_GCLK15_0 </t>
  </si>
  <si>
    <t>P126</t>
  </si>
  <si>
    <t xml:space="preserve">IO_L36N_GCLK14_0 </t>
  </si>
  <si>
    <t>P124</t>
  </si>
  <si>
    <t xml:space="preserve">IO_L37P_GCLK13_0 </t>
  </si>
  <si>
    <t>P123</t>
  </si>
  <si>
    <t xml:space="preserve">IO_L37N_GCLK12_0 </t>
  </si>
  <si>
    <t>P121</t>
  </si>
  <si>
    <t xml:space="preserve">IO_L62P_0 </t>
  </si>
  <si>
    <t>P120</t>
  </si>
  <si>
    <t xml:space="preserve">IO_L62N_VREF_0 </t>
  </si>
  <si>
    <t>P119</t>
  </si>
  <si>
    <t xml:space="preserve">IO_L63P_SCP7_0 </t>
  </si>
  <si>
    <t>P118</t>
  </si>
  <si>
    <t xml:space="preserve">IO_L63N_SCP6_0 </t>
  </si>
  <si>
    <t>P117</t>
  </si>
  <si>
    <t xml:space="preserve">IO_L64P_SCP5_0 </t>
  </si>
  <si>
    <t>P116</t>
  </si>
  <si>
    <t xml:space="preserve">IO_L64N_SCP4_0 </t>
  </si>
  <si>
    <t>P115</t>
  </si>
  <si>
    <t xml:space="preserve">IO_L65P_SCP3_0 </t>
  </si>
  <si>
    <t>P114</t>
  </si>
  <si>
    <t xml:space="preserve">IO_L65N_SCP2_0 </t>
  </si>
  <si>
    <t>P112</t>
  </si>
  <si>
    <t xml:space="preserve">IO_L66P_SCP1_0 </t>
  </si>
  <si>
    <t>P111</t>
  </si>
  <si>
    <t xml:space="preserve">IO_L66N_SCP0_0 </t>
  </si>
  <si>
    <t>P109</t>
  </si>
  <si>
    <t xml:space="preserve">TCK </t>
  </si>
  <si>
    <t>P110</t>
  </si>
  <si>
    <t xml:space="preserve">TDI </t>
  </si>
  <si>
    <t>P107</t>
  </si>
  <si>
    <t xml:space="preserve">TMS </t>
  </si>
  <si>
    <t>P106</t>
  </si>
  <si>
    <t xml:space="preserve">TDO </t>
  </si>
  <si>
    <t>P105</t>
  </si>
  <si>
    <t xml:space="preserve">IO_L1P_1 </t>
  </si>
  <si>
    <t>P104</t>
  </si>
  <si>
    <t xml:space="preserve">IO_L1N_VREF_1 </t>
  </si>
  <si>
    <t>P102</t>
  </si>
  <si>
    <t xml:space="preserve">IO_L32P_1 </t>
  </si>
  <si>
    <t>P101</t>
  </si>
  <si>
    <t xml:space="preserve">IO_L32N_1 </t>
  </si>
  <si>
    <t>P100</t>
  </si>
  <si>
    <t xml:space="preserve">IO_L33P_1 </t>
  </si>
  <si>
    <t>P99</t>
  </si>
  <si>
    <t xml:space="preserve">IO_L33N_1 </t>
  </si>
  <si>
    <t>P98</t>
  </si>
  <si>
    <t xml:space="preserve">IO_L34P_1 </t>
  </si>
  <si>
    <t>P97</t>
  </si>
  <si>
    <t xml:space="preserve">IO_L34N_1 </t>
  </si>
  <si>
    <t>P95</t>
  </si>
  <si>
    <t xml:space="preserve">IO_L40P_GCLK11_1 </t>
  </si>
  <si>
    <t>P94</t>
  </si>
  <si>
    <t xml:space="preserve">IO_L40N_GCLK10_1 </t>
  </si>
  <si>
    <t>P93</t>
  </si>
  <si>
    <t xml:space="preserve">IO_L41P_GCLK9_IRDY1_1 </t>
  </si>
  <si>
    <t>P92</t>
  </si>
  <si>
    <t xml:space="preserve">IO_L41N_GCLK8_1 </t>
  </si>
  <si>
    <t>P88</t>
  </si>
  <si>
    <t xml:space="preserve">IO_L42P_GCLK7_1 </t>
  </si>
  <si>
    <t>P87</t>
  </si>
  <si>
    <t xml:space="preserve">IO_L42N_GCLK6_TRDY1_1 </t>
  </si>
  <si>
    <t>P85</t>
  </si>
  <si>
    <t xml:space="preserve">IO_L43P_GCLK5_1 </t>
  </si>
  <si>
    <t>P84</t>
  </si>
  <si>
    <t xml:space="preserve">IO_L43N_GCLK4_1 </t>
  </si>
  <si>
    <t>P83</t>
  </si>
  <si>
    <t xml:space="preserve">IO_L45P_1 </t>
  </si>
  <si>
    <t>P82</t>
  </si>
  <si>
    <t xml:space="preserve">IO_L45N_1 </t>
  </si>
  <si>
    <t>P81</t>
  </si>
  <si>
    <t xml:space="preserve">IO_L46P_1 </t>
  </si>
  <si>
    <t>P80</t>
  </si>
  <si>
    <t xml:space="preserve">IO_L46N_1 </t>
  </si>
  <si>
    <t>P79</t>
  </si>
  <si>
    <t xml:space="preserve">IO_L47P_1 </t>
  </si>
  <si>
    <t>P78</t>
  </si>
  <si>
    <t xml:space="preserve">IO_L47N_1 </t>
  </si>
  <si>
    <t>P75</t>
  </si>
  <si>
    <t xml:space="preserve">IO_L74P_AWAKE_1 </t>
  </si>
  <si>
    <t>P74</t>
  </si>
  <si>
    <t>P73</t>
  </si>
  <si>
    <t xml:space="preserve">CMPCS_B_2 </t>
  </si>
  <si>
    <t>P71</t>
  </si>
  <si>
    <t>P67</t>
  </si>
  <si>
    <t xml:space="preserve">IO_L2P_CMPCLK_2 </t>
  </si>
  <si>
    <t>P66</t>
  </si>
  <si>
    <t xml:space="preserve">IO_L2N_CMPMOSI_2 </t>
  </si>
  <si>
    <t xml:space="preserve">IO_L13N_D10_2 </t>
  </si>
  <si>
    <t>P58</t>
  </si>
  <si>
    <t xml:space="preserve">IO_L14P_D11_2 </t>
  </si>
  <si>
    <t>P57</t>
  </si>
  <si>
    <t xml:space="preserve">IO_L14N_D12_2 </t>
  </si>
  <si>
    <t xml:space="preserve">IO_L30P_GCLK1_D13_2 </t>
  </si>
  <si>
    <t xml:space="preserve">IO_L30N_GCLK0_USERCCLK_2 </t>
  </si>
  <si>
    <t>P50</t>
  </si>
  <si>
    <t>P41</t>
  </si>
  <si>
    <t xml:space="preserve">IO_L64P_D8_2 </t>
  </si>
  <si>
    <t>P40</t>
  </si>
  <si>
    <t xml:space="preserve">IO_L64N_D9_2 </t>
  </si>
  <si>
    <t>P38</t>
  </si>
  <si>
    <t>P35</t>
  </si>
  <si>
    <t xml:space="preserve">IO_L1P_3 </t>
  </si>
  <si>
    <t>P34</t>
  </si>
  <si>
    <t xml:space="preserve">IO_L1N_VREF_3 </t>
  </si>
  <si>
    <t>P33</t>
  </si>
  <si>
    <t xml:space="preserve">IO_L2P_3 </t>
  </si>
  <si>
    <t>P32</t>
  </si>
  <si>
    <t xml:space="preserve">IO_L2N_3 </t>
  </si>
  <si>
    <t>P30</t>
  </si>
  <si>
    <t xml:space="preserve">IO_L36P_3 </t>
  </si>
  <si>
    <t>P29</t>
  </si>
  <si>
    <t xml:space="preserve">IO_L36N_3 </t>
  </si>
  <si>
    <t>P27</t>
  </si>
  <si>
    <t xml:space="preserve">IO_L37P_3 </t>
  </si>
  <si>
    <t>P26</t>
  </si>
  <si>
    <t xml:space="preserve">IO_L37N_3 </t>
  </si>
  <si>
    <t>P24</t>
  </si>
  <si>
    <t xml:space="preserve">IO_L41P_GCLK27_3 </t>
  </si>
  <si>
    <t>P23</t>
  </si>
  <si>
    <t xml:space="preserve">IO_L41N_GCLK26_3 </t>
  </si>
  <si>
    <t>P22</t>
  </si>
  <si>
    <t xml:space="preserve">IO_L42P_GCLK25_TRDY2_3 </t>
  </si>
  <si>
    <t>P21</t>
  </si>
  <si>
    <t xml:space="preserve">IO_L42N_GCLK24_3 </t>
  </si>
  <si>
    <t>P17</t>
  </si>
  <si>
    <t xml:space="preserve">IO_L43P_GCLK23_3 </t>
  </si>
  <si>
    <t>P16</t>
  </si>
  <si>
    <t xml:space="preserve">IO_L43N_GCLK22_IRDY2_3 </t>
  </si>
  <si>
    <t>P15</t>
  </si>
  <si>
    <t xml:space="preserve">IO_L44P_GCLK21_3 </t>
  </si>
  <si>
    <t>P14</t>
  </si>
  <si>
    <t xml:space="preserve">IO_L44N_GCLK20_3 </t>
  </si>
  <si>
    <t>P12</t>
  </si>
  <si>
    <t xml:space="preserve">IO_L49P_3 </t>
  </si>
  <si>
    <t>P11</t>
  </si>
  <si>
    <t xml:space="preserve">IO_L49N_3 </t>
  </si>
  <si>
    <t>P10</t>
  </si>
  <si>
    <t xml:space="preserve">IO_L50P_3 </t>
  </si>
  <si>
    <t>P9</t>
  </si>
  <si>
    <t xml:space="preserve">IO_L50N_3 </t>
  </si>
  <si>
    <t>P8</t>
  </si>
  <si>
    <t xml:space="preserve">IO_L51P_3 </t>
  </si>
  <si>
    <t>P7</t>
  </si>
  <si>
    <t xml:space="preserve">IO_L51N_3 </t>
  </si>
  <si>
    <t>P6</t>
  </si>
  <si>
    <t xml:space="preserve">IO_L52P_3 </t>
  </si>
  <si>
    <t>P5</t>
  </si>
  <si>
    <t xml:space="preserve">IO_L52N_3 </t>
  </si>
  <si>
    <t>P2</t>
  </si>
  <si>
    <t xml:space="preserve">IO_L83P_3 </t>
  </si>
  <si>
    <t>P1</t>
  </si>
  <si>
    <t xml:space="preserve">IO_L83N_VREF_3 </t>
  </si>
  <si>
    <t>Function</t>
  </si>
  <si>
    <t>IO_L74N_DOUT_BUSY_1</t>
  </si>
  <si>
    <t>DONE_2</t>
  </si>
  <si>
    <t>IO_L1P_CCLK_2</t>
  </si>
  <si>
    <t>IO_L1N_M0_CMPMISO_2</t>
  </si>
  <si>
    <t>IO_L3P_D0_DIN_MISO_MISO1_2</t>
  </si>
  <si>
    <t>IO_L3N_MOSI_CSI_B_MISO0_2</t>
  </si>
  <si>
    <t>IO_L12P_D1_MISO2_2</t>
  </si>
  <si>
    <t>IO_L12N_D2_MISO3_2</t>
  </si>
  <si>
    <t>IO_L13P_M1_2</t>
  </si>
  <si>
    <t>IO_L48P_D7_2</t>
  </si>
  <si>
    <t>IO_L48N_RDWR_B_VREF_2</t>
  </si>
  <si>
    <t>IO_L49P_D3_2</t>
  </si>
  <si>
    <t>IO_L49N_D4_2</t>
  </si>
  <si>
    <t>IO_L62P_D5_2</t>
  </si>
  <si>
    <t>IO_L62N_D6_2</t>
  </si>
  <si>
    <t>IO_L65P_INIT_B_2</t>
  </si>
  <si>
    <t>IO_L65N_CSO_B_2</t>
  </si>
  <si>
    <t>PROGRAM_B_2</t>
  </si>
  <si>
    <t>SUSPEND</t>
  </si>
  <si>
    <t xml:space="preserve">DOUT This output pin is used during readback. </t>
  </si>
  <si>
    <t>DONE1 = FPGA configured,Mojo: AVR PC6</t>
  </si>
  <si>
    <t>CCLK Configuration clock, Mojo: AVR PD0</t>
  </si>
  <si>
    <t>DIN + SelectMAP D0, Mojo: AVR PB7 (!)</t>
  </si>
  <si>
    <t xml:space="preserve">Active-Low chip select to enable the SelectMAP data bus </t>
  </si>
  <si>
    <t>SelectMAP D1, Mojo: AVR PB6 (!)</t>
  </si>
  <si>
    <t>SelectMAP D2, Mojo: AVR PB5 (!)</t>
  </si>
  <si>
    <t>SelectMAP D7, Mojo: AVR SS PB0 (!)</t>
  </si>
  <si>
    <t>Determines the direction of the D[x:0] data bus, 0 = inputs, 1 = outputs</t>
  </si>
  <si>
    <t>SelectMAP D3, Mojo: AVR PB4 (!)</t>
  </si>
  <si>
    <t>SelectMAP D4, Mojo: AVR MISO PB3 (!)</t>
  </si>
  <si>
    <t>SelectMAP D5, Mojo: AVR MOSI PB2 (!)</t>
  </si>
  <si>
    <t>SelectMAP D6, Mojo: AVR SCKPB1 (!)</t>
  </si>
  <si>
    <t>Mojo: AVR PD5</t>
  </si>
  <si>
    <t>Not used in single FPGA applications</t>
  </si>
  <si>
    <t>PROGRAM_B Active-Low asynchronous full-chip reset, Mojo: AVR PC7</t>
  </si>
  <si>
    <t>SV2</t>
  </si>
  <si>
    <t>SV</t>
  </si>
  <si>
    <t>SV Pin</t>
  </si>
  <si>
    <t>SV1</t>
  </si>
  <si>
    <t>FPGA UCF Pin</t>
  </si>
  <si>
    <t>M0 LOW-Pegel = SelectMAP</t>
  </si>
  <si>
    <t>PB7</t>
  </si>
  <si>
    <t>PB6</t>
  </si>
  <si>
    <t>PB5</t>
  </si>
  <si>
    <t>PB0</t>
  </si>
  <si>
    <t>PB4</t>
  </si>
  <si>
    <t>PB3</t>
  </si>
  <si>
    <t>PB2</t>
  </si>
  <si>
    <t>PD5</t>
  </si>
  <si>
    <t>PC7</t>
  </si>
  <si>
    <t>PB1</t>
  </si>
  <si>
    <t>PD0</t>
  </si>
  <si>
    <t>ESP Pin</t>
  </si>
  <si>
    <t>GPIO 2</t>
  </si>
  <si>
    <t>GPIO 4</t>
  </si>
  <si>
    <t>GPIO 5</t>
  </si>
  <si>
    <t>GPIO 0</t>
  </si>
  <si>
    <t>GPIO 15 /SS</t>
  </si>
  <si>
    <t>GPIO 13 MOSI</t>
  </si>
  <si>
    <t>GPIO 12 MISO</t>
  </si>
  <si>
    <t>GPIO 14 SCLK</t>
  </si>
  <si>
    <t>GPIO 16 STRB</t>
  </si>
  <si>
    <t>DIL28 Pin</t>
  </si>
  <si>
    <t>A</t>
  </si>
  <si>
    <t>D</t>
  </si>
  <si>
    <t>IO_L64P_2</t>
  </si>
  <si>
    <t>IO_L64N_2</t>
  </si>
  <si>
    <t>IO_L31N_GCLK30_D15_2</t>
  </si>
  <si>
    <t>IO_L31P_GCLK31_D14_2</t>
  </si>
  <si>
    <t>IO_L14P_D11_2</t>
  </si>
  <si>
    <t>IO_L14N_D12_2</t>
  </si>
  <si>
    <t>FPGA UCF P#</t>
  </si>
  <si>
    <t>IO_L31N_GCLK30_D15_3</t>
  </si>
  <si>
    <t>IO_L31P_GCLK31_D14_3</t>
  </si>
  <si>
    <t>GND</t>
  </si>
  <si>
    <t>VCC 5V</t>
  </si>
  <si>
    <t>VCC 3V3</t>
  </si>
  <si>
    <t># MOJO V3 Default UCF</t>
  </si>
  <si>
    <t>### SV1 Pins ###</t>
  </si>
  <si>
    <t>### SV2 Pins ###</t>
  </si>
  <si>
    <t>27512</t>
  </si>
  <si>
    <t>Typ</t>
  </si>
  <si>
    <t>LED 2</t>
  </si>
  <si>
    <t>LED 3</t>
  </si>
  <si>
    <t>LED 4</t>
  </si>
  <si>
    <t>LED 5</t>
  </si>
  <si>
    <t>LED 6</t>
  </si>
  <si>
    <t>LED 7</t>
  </si>
  <si>
    <t>LED 8</t>
  </si>
  <si>
    <t>LED 9</t>
  </si>
  <si>
    <t>M1 M1HI-Pegel = SelectMAP</t>
  </si>
  <si>
    <t>RESET BTN</t>
  </si>
  <si>
    <t>VCC3</t>
  </si>
  <si>
    <t>PIN_22</t>
  </si>
  <si>
    <t>PIN_20</t>
  </si>
  <si>
    <t>PIN_27</t>
  </si>
  <si>
    <t>PIN_1</t>
  </si>
  <si>
    <t>PIN_26</t>
  </si>
  <si>
    <t>PIN_2</t>
  </si>
  <si>
    <t>PIN_23</t>
  </si>
  <si>
    <t># EPROM 2716..27512 UCF</t>
  </si>
  <si>
    <t>PL3 40 Pin</t>
  </si>
  <si>
    <t># PL3 Pin 1</t>
  </si>
  <si>
    <t># PL3 Pin 2</t>
  </si>
  <si>
    <t>Name</t>
  </si>
  <si>
    <t>Custom</t>
  </si>
  <si>
    <t>FPGA Name</t>
  </si>
  <si>
    <t>FPGA Pin</t>
  </si>
  <si>
    <t>SV2 Pin</t>
  </si>
  <si>
    <t>UCF Data</t>
  </si>
  <si>
    <t>HSYNC</t>
  </si>
  <si>
    <t>VSYNC</t>
  </si>
  <si>
    <t>BLUE(2)</t>
  </si>
  <si>
    <t>BLUE(1)</t>
  </si>
  <si>
    <t>BLUE(0)</t>
  </si>
  <si>
    <t>VIDEO(0)</t>
  </si>
  <si>
    <t>VIDEO(1)</t>
  </si>
  <si>
    <t>VIDEO(2)</t>
  </si>
  <si>
    <t>VIDEO(3)</t>
  </si>
  <si>
    <t>VIDEO(4)</t>
  </si>
  <si>
    <t>VIDEO(5)</t>
  </si>
  <si>
    <t>VIDEO(6)</t>
  </si>
  <si>
    <t>VIDEO(7)</t>
  </si>
  <si>
    <t>COIN</t>
  </si>
  <si>
    <t>START_1</t>
  </si>
  <si>
    <t>LEFT</t>
  </si>
  <si>
    <t>RIGHT</t>
  </si>
  <si>
    <t>FIRE</t>
  </si>
  <si>
    <t>START_2</t>
  </si>
  <si>
    <t>UP</t>
  </si>
  <si>
    <t>DOWN</t>
  </si>
  <si>
    <t>LED(1)</t>
  </si>
  <si>
    <t>LED(2)</t>
  </si>
  <si>
    <t>LED(3)</t>
  </si>
  <si>
    <t>LED(4)</t>
  </si>
  <si>
    <t>LED(5)</t>
  </si>
  <si>
    <t>LED(6)</t>
  </si>
  <si>
    <t>LED(7)</t>
  </si>
  <si>
    <t>CARRIER</t>
  </si>
  <si>
    <t>GREEN(2)</t>
  </si>
  <si>
    <t>GREEN(1)</t>
  </si>
  <si>
    <t>GREEN(0)</t>
  </si>
  <si>
    <t>RED(2)</t>
  </si>
  <si>
    <t>RED(1)</t>
  </si>
  <si>
    <t>RED(0)</t>
  </si>
  <si>
    <t>AUDIO_PWM</t>
  </si>
  <si>
    <t>LED(0)</t>
  </si>
  <si>
    <t>P51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</si>
</sst>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Fill="1"/>
    <xf numFmtId="0" fontId="4" fillId="0" borderId="0" xfId="0" applyFont="1"/>
    <xf numFmtId="0" fontId="0" fillId="3" borderId="0" xfId="0" applyFill="1" applyAlignment="1">
      <alignment horizontal="left"/>
    </xf>
    <xf numFmtId="0" fontId="0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3" borderId="0" xfId="0" applyFont="1" applyFill="1"/>
    <xf numFmtId="0" fontId="2" fillId="2" borderId="0" xfId="0" applyFont="1" applyFill="1"/>
    <xf numFmtId="0" fontId="1" fillId="0" borderId="0" xfId="0" applyFont="1" applyAlignment="1">
      <alignment horizontal="left"/>
    </xf>
    <xf numFmtId="0" fontId="0" fillId="4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1" fillId="4" borderId="0" xfId="0" applyFont="1" applyFill="1"/>
    <xf numFmtId="0" fontId="2" fillId="0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0" fillId="0" borderId="0" xfId="0" applyNumberFormat="1" applyAlignment="1">
      <alignment horizontal="left"/>
    </xf>
    <xf numFmtId="0" fontId="6" fillId="0" borderId="0" xfId="0" applyFont="1"/>
    <xf numFmtId="0" fontId="7" fillId="4" borderId="0" xfId="0" applyFont="1" applyFill="1"/>
    <xf numFmtId="0" fontId="7" fillId="4" borderId="0" xfId="0" applyFont="1" applyFill="1" applyAlignment="1">
      <alignment horizontal="left"/>
    </xf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5" borderId="0" xfId="0" applyFont="1" applyFill="1" applyAlignment="1">
      <alignment horizontal="left"/>
    </xf>
    <xf numFmtId="0" fontId="9" fillId="4" borderId="0" xfId="0" applyFont="1" applyFill="1" applyAlignment="1">
      <alignment horizontal="left"/>
    </xf>
    <xf numFmtId="0" fontId="8" fillId="4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2" fillId="7" borderId="0" xfId="0" applyFont="1" applyFill="1" applyAlignment="1">
      <alignment horizontal="left"/>
    </xf>
    <xf numFmtId="0" fontId="0" fillId="7" borderId="0" xfId="0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5"/>
  <sheetViews>
    <sheetView topLeftCell="A26" workbookViewId="0">
      <selection activeCell="E31" sqref="E31"/>
    </sheetView>
  </sheetViews>
  <sheetFormatPr baseColWidth="10" defaultRowHeight="15" x14ac:dyDescent="0.25"/>
  <cols>
    <col min="1" max="1" width="13.7109375" style="22" customWidth="1"/>
    <col min="2" max="3" width="7.140625" style="1" customWidth="1"/>
    <col min="4" max="4" width="30.7109375" customWidth="1"/>
  </cols>
  <sheetData>
    <row r="1" spans="1:4" s="3" customFormat="1" x14ac:dyDescent="0.25">
      <c r="A1" s="21" t="s">
        <v>251</v>
      </c>
      <c r="B1" s="4" t="s">
        <v>216</v>
      </c>
      <c r="C1" s="4" t="s">
        <v>217</v>
      </c>
      <c r="D1" s="3" t="s">
        <v>179</v>
      </c>
    </row>
    <row r="2" spans="1:4" x14ac:dyDescent="0.25">
      <c r="A2" s="22">
        <v>1</v>
      </c>
      <c r="B2" s="2" t="s">
        <v>215</v>
      </c>
      <c r="C2" s="2">
        <v>34</v>
      </c>
      <c r="D2" t="s">
        <v>178</v>
      </c>
    </row>
    <row r="3" spans="1:4" x14ac:dyDescent="0.25">
      <c r="A3" s="22">
        <v>2</v>
      </c>
      <c r="B3" s="2" t="s">
        <v>215</v>
      </c>
      <c r="C3" s="2">
        <v>33</v>
      </c>
      <c r="D3" t="s">
        <v>176</v>
      </c>
    </row>
    <row r="4" spans="1:4" x14ac:dyDescent="0.25">
      <c r="A4" s="22">
        <v>5</v>
      </c>
      <c r="B4" s="2" t="s">
        <v>215</v>
      </c>
      <c r="C4" s="2">
        <v>32</v>
      </c>
      <c r="D4" t="s">
        <v>174</v>
      </c>
    </row>
    <row r="5" spans="1:4" x14ac:dyDescent="0.25">
      <c r="A5" s="22">
        <v>6</v>
      </c>
      <c r="B5" s="2" t="s">
        <v>215</v>
      </c>
      <c r="C5" s="2">
        <v>31</v>
      </c>
      <c r="D5" t="s">
        <v>172</v>
      </c>
    </row>
    <row r="6" spans="1:4" x14ac:dyDescent="0.25">
      <c r="A6" s="22">
        <v>7</v>
      </c>
      <c r="B6" s="2" t="s">
        <v>215</v>
      </c>
      <c r="C6" s="2">
        <v>30</v>
      </c>
      <c r="D6" t="s">
        <v>170</v>
      </c>
    </row>
    <row r="7" spans="1:4" x14ac:dyDescent="0.25">
      <c r="A7" s="22">
        <v>8</v>
      </c>
      <c r="B7" s="2" t="s">
        <v>215</v>
      </c>
      <c r="C7" s="2">
        <v>29</v>
      </c>
      <c r="D7" t="s">
        <v>168</v>
      </c>
    </row>
    <row r="8" spans="1:4" x14ac:dyDescent="0.25">
      <c r="A8" s="22">
        <v>9</v>
      </c>
      <c r="B8" s="2" t="s">
        <v>215</v>
      </c>
      <c r="C8" s="2">
        <v>28</v>
      </c>
      <c r="D8" t="s">
        <v>166</v>
      </c>
    </row>
    <row r="9" spans="1:4" x14ac:dyDescent="0.25">
      <c r="A9" s="22">
        <v>10</v>
      </c>
      <c r="B9" s="2" t="s">
        <v>215</v>
      </c>
      <c r="C9" s="2">
        <v>27</v>
      </c>
      <c r="D9" t="s">
        <v>164</v>
      </c>
    </row>
    <row r="10" spans="1:4" x14ac:dyDescent="0.25">
      <c r="A10" s="22">
        <v>11</v>
      </c>
      <c r="B10" s="2" t="s">
        <v>215</v>
      </c>
      <c r="C10" s="2">
        <v>26</v>
      </c>
      <c r="D10" t="s">
        <v>162</v>
      </c>
    </row>
    <row r="11" spans="1:4" x14ac:dyDescent="0.25">
      <c r="A11" s="22">
        <v>12</v>
      </c>
      <c r="B11" s="2" t="s">
        <v>215</v>
      </c>
      <c r="C11" s="2">
        <v>25</v>
      </c>
      <c r="D11" t="s">
        <v>160</v>
      </c>
    </row>
    <row r="12" spans="1:4" x14ac:dyDescent="0.25">
      <c r="A12" s="22">
        <v>14</v>
      </c>
      <c r="B12" s="2" t="s">
        <v>215</v>
      </c>
      <c r="C12" s="2">
        <v>24</v>
      </c>
      <c r="D12" s="5" t="s">
        <v>158</v>
      </c>
    </row>
    <row r="13" spans="1:4" x14ac:dyDescent="0.25">
      <c r="A13" s="22">
        <v>15</v>
      </c>
      <c r="B13" s="2" t="s">
        <v>215</v>
      </c>
      <c r="C13" s="2">
        <v>23</v>
      </c>
      <c r="D13" s="5" t="s">
        <v>156</v>
      </c>
    </row>
    <row r="14" spans="1:4" x14ac:dyDescent="0.25">
      <c r="A14" s="22">
        <v>16</v>
      </c>
      <c r="B14" s="2" t="s">
        <v>215</v>
      </c>
      <c r="C14" s="2">
        <v>22</v>
      </c>
      <c r="D14" s="5" t="s">
        <v>154</v>
      </c>
    </row>
    <row r="15" spans="1:4" x14ac:dyDescent="0.25">
      <c r="A15" s="22">
        <v>17</v>
      </c>
      <c r="B15" s="2" t="s">
        <v>215</v>
      </c>
      <c r="C15" s="2">
        <v>21</v>
      </c>
      <c r="D15" s="5" t="s">
        <v>152</v>
      </c>
    </row>
    <row r="16" spans="1:4" x14ac:dyDescent="0.25">
      <c r="A16" s="22">
        <v>21</v>
      </c>
      <c r="B16" s="2" t="s">
        <v>215</v>
      </c>
      <c r="C16" s="2">
        <v>20</v>
      </c>
      <c r="D16" s="5" t="s">
        <v>150</v>
      </c>
    </row>
    <row r="17" spans="1:6" x14ac:dyDescent="0.25">
      <c r="A17" s="22">
        <v>22</v>
      </c>
      <c r="B17" s="2" t="s">
        <v>215</v>
      </c>
      <c r="C17" s="2">
        <v>19</v>
      </c>
      <c r="D17" s="5" t="s">
        <v>148</v>
      </c>
    </row>
    <row r="18" spans="1:6" x14ac:dyDescent="0.25">
      <c r="A18" s="22">
        <v>23</v>
      </c>
      <c r="B18" s="2" t="s">
        <v>215</v>
      </c>
      <c r="C18" s="2">
        <v>18</v>
      </c>
      <c r="D18" s="5" t="s">
        <v>146</v>
      </c>
    </row>
    <row r="19" spans="1:6" x14ac:dyDescent="0.25">
      <c r="A19" s="22">
        <v>24</v>
      </c>
      <c r="B19" s="2" t="s">
        <v>215</v>
      </c>
      <c r="C19" s="2">
        <v>17</v>
      </c>
      <c r="D19" s="5" t="s">
        <v>144</v>
      </c>
    </row>
    <row r="20" spans="1:6" x14ac:dyDescent="0.25">
      <c r="A20" s="22">
        <v>26</v>
      </c>
      <c r="B20" s="2" t="s">
        <v>215</v>
      </c>
      <c r="C20" s="2">
        <v>16</v>
      </c>
      <c r="D20" t="s">
        <v>142</v>
      </c>
    </row>
    <row r="21" spans="1:6" x14ac:dyDescent="0.25">
      <c r="A21" s="22">
        <v>27</v>
      </c>
      <c r="B21" s="2" t="s">
        <v>215</v>
      </c>
      <c r="C21" s="2">
        <v>15</v>
      </c>
      <c r="D21" t="s">
        <v>140</v>
      </c>
    </row>
    <row r="22" spans="1:6" x14ac:dyDescent="0.25">
      <c r="A22" s="22">
        <v>29</v>
      </c>
      <c r="B22" s="2" t="s">
        <v>215</v>
      </c>
      <c r="C22" s="2">
        <v>14</v>
      </c>
      <c r="D22" t="s">
        <v>138</v>
      </c>
    </row>
    <row r="23" spans="1:6" x14ac:dyDescent="0.25">
      <c r="A23" s="22">
        <v>30</v>
      </c>
      <c r="B23" s="2" t="s">
        <v>215</v>
      </c>
      <c r="C23" s="2">
        <v>13</v>
      </c>
      <c r="D23" t="s">
        <v>136</v>
      </c>
    </row>
    <row r="24" spans="1:6" x14ac:dyDescent="0.25">
      <c r="A24" s="22">
        <v>32</v>
      </c>
      <c r="B24" s="2" t="s">
        <v>215</v>
      </c>
      <c r="C24" s="2">
        <v>12</v>
      </c>
      <c r="D24" t="s">
        <v>134</v>
      </c>
    </row>
    <row r="25" spans="1:6" x14ac:dyDescent="0.25">
      <c r="A25" s="22">
        <v>33</v>
      </c>
      <c r="B25" s="2" t="s">
        <v>215</v>
      </c>
      <c r="C25" s="2">
        <v>7</v>
      </c>
    </row>
    <row r="26" spans="1:6" x14ac:dyDescent="0.25">
      <c r="A26" s="22">
        <v>33</v>
      </c>
      <c r="B26" s="2" t="s">
        <v>215</v>
      </c>
      <c r="C26" s="2">
        <v>11</v>
      </c>
      <c r="D26" t="s">
        <v>132</v>
      </c>
    </row>
    <row r="27" spans="1:6" x14ac:dyDescent="0.25">
      <c r="A27" s="22">
        <v>34</v>
      </c>
      <c r="B27" s="2" t="s">
        <v>215</v>
      </c>
      <c r="C27" s="2">
        <v>8</v>
      </c>
    </row>
    <row r="28" spans="1:6" x14ac:dyDescent="0.25">
      <c r="A28" s="22">
        <v>34</v>
      </c>
      <c r="B28" s="2" t="s">
        <v>215</v>
      </c>
      <c r="C28" s="2">
        <v>10</v>
      </c>
      <c r="D28" t="s">
        <v>130</v>
      </c>
    </row>
    <row r="29" spans="1:6" x14ac:dyDescent="0.25">
      <c r="A29" s="22">
        <v>35</v>
      </c>
      <c r="B29" s="2" t="s">
        <v>215</v>
      </c>
      <c r="C29" s="2">
        <v>9</v>
      </c>
      <c r="D29" t="s">
        <v>128</v>
      </c>
    </row>
    <row r="30" spans="1:6" x14ac:dyDescent="0.25">
      <c r="A30" s="22">
        <v>37</v>
      </c>
      <c r="B30" s="16" t="s">
        <v>229</v>
      </c>
      <c r="D30" t="s">
        <v>197</v>
      </c>
      <c r="E30" s="25" t="s">
        <v>229</v>
      </c>
      <c r="F30" s="1" t="s">
        <v>214</v>
      </c>
    </row>
    <row r="31" spans="1:6" x14ac:dyDescent="0.25">
      <c r="A31" s="22">
        <v>38</v>
      </c>
      <c r="B31" s="8" t="s">
        <v>218</v>
      </c>
      <c r="C31" s="8">
        <v>49</v>
      </c>
      <c r="D31" t="s">
        <v>196</v>
      </c>
      <c r="E31" s="25" t="s">
        <v>271</v>
      </c>
      <c r="F31" s="1" t="s">
        <v>213</v>
      </c>
    </row>
    <row r="32" spans="1:6" x14ac:dyDescent="0.25">
      <c r="A32" s="22">
        <v>39</v>
      </c>
      <c r="B32" s="16" t="s">
        <v>228</v>
      </c>
      <c r="D32" t="s">
        <v>195</v>
      </c>
      <c r="E32" s="25" t="s">
        <v>228</v>
      </c>
      <c r="F32" s="1" t="s">
        <v>212</v>
      </c>
    </row>
    <row r="33" spans="1:6" x14ac:dyDescent="0.25">
      <c r="A33" s="22">
        <v>40</v>
      </c>
      <c r="B33" s="2" t="s">
        <v>215</v>
      </c>
      <c r="C33" s="1">
        <v>8</v>
      </c>
      <c r="D33" t="s">
        <v>125</v>
      </c>
      <c r="F33" s="1"/>
    </row>
    <row r="34" spans="1:6" x14ac:dyDescent="0.25">
      <c r="A34" s="22">
        <v>41</v>
      </c>
      <c r="B34" s="2" t="s">
        <v>215</v>
      </c>
      <c r="C34" s="1">
        <v>7</v>
      </c>
      <c r="D34" t="s">
        <v>123</v>
      </c>
      <c r="F34" s="1"/>
    </row>
    <row r="35" spans="1:6" x14ac:dyDescent="0.25">
      <c r="A35" s="22">
        <v>43</v>
      </c>
      <c r="B35" s="15" t="s">
        <v>230</v>
      </c>
      <c r="D35" t="s">
        <v>194</v>
      </c>
      <c r="E35" s="25" t="s">
        <v>230</v>
      </c>
      <c r="F35" s="1" t="s">
        <v>211</v>
      </c>
    </row>
    <row r="36" spans="1:6" x14ac:dyDescent="0.25">
      <c r="A36" s="22">
        <v>44</v>
      </c>
      <c r="B36" s="15" t="s">
        <v>227</v>
      </c>
      <c r="D36" t="s">
        <v>193</v>
      </c>
      <c r="E36" s="25" t="s">
        <v>227</v>
      </c>
      <c r="F36" s="1" t="s">
        <v>210</v>
      </c>
    </row>
    <row r="37" spans="1:6" x14ac:dyDescent="0.25">
      <c r="A37" s="22">
        <v>45</v>
      </c>
      <c r="B37" s="15" t="s">
        <v>226</v>
      </c>
      <c r="D37" t="s">
        <v>192</v>
      </c>
      <c r="E37" s="25" t="s">
        <v>226</v>
      </c>
      <c r="F37" s="1" t="s">
        <v>209</v>
      </c>
    </row>
    <row r="38" spans="1:6" x14ac:dyDescent="0.25">
      <c r="A38" s="22">
        <v>46</v>
      </c>
      <c r="B38" s="15" t="s">
        <v>225</v>
      </c>
      <c r="D38" t="s">
        <v>191</v>
      </c>
      <c r="E38" s="25" t="s">
        <v>225</v>
      </c>
      <c r="F38" s="1" t="s">
        <v>208</v>
      </c>
    </row>
    <row r="39" spans="1:6" x14ac:dyDescent="0.25">
      <c r="A39" s="22">
        <v>47</v>
      </c>
      <c r="D39" t="s">
        <v>190</v>
      </c>
      <c r="E39" s="33" t="s">
        <v>254</v>
      </c>
      <c r="F39" s="1" t="s">
        <v>207</v>
      </c>
    </row>
    <row r="40" spans="1:6" x14ac:dyDescent="0.25">
      <c r="A40" s="22">
        <v>48</v>
      </c>
      <c r="B40" s="15" t="s">
        <v>224</v>
      </c>
      <c r="D40" t="s">
        <v>189</v>
      </c>
      <c r="E40" s="25" t="s">
        <v>224</v>
      </c>
      <c r="F40" s="1" t="s">
        <v>206</v>
      </c>
    </row>
    <row r="41" spans="1:6" x14ac:dyDescent="0.25">
      <c r="A41" s="22">
        <v>50</v>
      </c>
      <c r="B41" s="2" t="s">
        <v>215</v>
      </c>
      <c r="C41" s="2">
        <v>6</v>
      </c>
      <c r="D41" s="6" t="s">
        <v>252</v>
      </c>
    </row>
    <row r="42" spans="1:6" x14ac:dyDescent="0.25">
      <c r="A42" s="22">
        <v>51</v>
      </c>
      <c r="B42" s="2" t="s">
        <v>215</v>
      </c>
      <c r="C42" s="2">
        <v>5</v>
      </c>
      <c r="D42" s="6" t="s">
        <v>253</v>
      </c>
    </row>
    <row r="43" spans="1:6" x14ac:dyDescent="0.25">
      <c r="A43" s="22">
        <v>55</v>
      </c>
      <c r="D43" s="6" t="s">
        <v>120</v>
      </c>
      <c r="F43" s="1"/>
    </row>
    <row r="44" spans="1:6" x14ac:dyDescent="0.25">
      <c r="A44" s="22">
        <v>56</v>
      </c>
      <c r="D44" s="6" t="s">
        <v>119</v>
      </c>
      <c r="F44" s="1"/>
    </row>
    <row r="45" spans="1:6" x14ac:dyDescent="0.25">
      <c r="A45" s="22">
        <v>57</v>
      </c>
      <c r="D45" t="s">
        <v>118</v>
      </c>
      <c r="F45" s="1"/>
    </row>
    <row r="46" spans="1:6" x14ac:dyDescent="0.25">
      <c r="A46" s="22">
        <v>57</v>
      </c>
      <c r="B46" s="8" t="s">
        <v>218</v>
      </c>
      <c r="C46" s="8">
        <v>8</v>
      </c>
      <c r="D46" t="s">
        <v>250</v>
      </c>
    </row>
    <row r="47" spans="1:6" x14ac:dyDescent="0.25">
      <c r="A47" s="22">
        <v>58</v>
      </c>
      <c r="D47" t="s">
        <v>116</v>
      </c>
      <c r="F47" s="1"/>
    </row>
    <row r="48" spans="1:6" x14ac:dyDescent="0.25">
      <c r="A48" s="22">
        <v>58</v>
      </c>
      <c r="B48" s="8" t="s">
        <v>218</v>
      </c>
      <c r="C48" s="8">
        <v>7</v>
      </c>
      <c r="D48" t="s">
        <v>249</v>
      </c>
    </row>
    <row r="49" spans="1:6" x14ac:dyDescent="0.25">
      <c r="A49" s="22">
        <v>59</v>
      </c>
      <c r="D49" t="s">
        <v>114</v>
      </c>
      <c r="F49" s="1"/>
    </row>
    <row r="50" spans="1:6" x14ac:dyDescent="0.25">
      <c r="A50" s="22">
        <v>60</v>
      </c>
      <c r="D50" t="s">
        <v>188</v>
      </c>
      <c r="E50" s="34" t="s">
        <v>272</v>
      </c>
      <c r="F50" s="1" t="s">
        <v>270</v>
      </c>
    </row>
    <row r="51" spans="1:6" x14ac:dyDescent="0.25">
      <c r="A51" s="22">
        <v>61</v>
      </c>
      <c r="B51" s="15" t="s">
        <v>223</v>
      </c>
      <c r="D51" t="s">
        <v>187</v>
      </c>
      <c r="E51" s="25" t="s">
        <v>223</v>
      </c>
      <c r="F51" s="1" t="s">
        <v>205</v>
      </c>
    </row>
    <row r="52" spans="1:6" x14ac:dyDescent="0.25">
      <c r="A52" s="22">
        <v>62</v>
      </c>
      <c r="B52" s="15" t="s">
        <v>222</v>
      </c>
      <c r="D52" t="s">
        <v>186</v>
      </c>
      <c r="E52" s="25" t="s">
        <v>222</v>
      </c>
      <c r="F52" s="1" t="s">
        <v>204</v>
      </c>
    </row>
    <row r="53" spans="1:6" x14ac:dyDescent="0.25">
      <c r="A53" s="22">
        <v>64</v>
      </c>
      <c r="D53" t="s">
        <v>185</v>
      </c>
      <c r="E53" s="33" t="s">
        <v>254</v>
      </c>
      <c r="F53" s="1" t="s">
        <v>203</v>
      </c>
    </row>
    <row r="54" spans="1:6" x14ac:dyDescent="0.25">
      <c r="A54" s="22">
        <v>65</v>
      </c>
      <c r="B54" s="15" t="s">
        <v>221</v>
      </c>
      <c r="D54" t="s">
        <v>184</v>
      </c>
      <c r="E54" s="25" t="s">
        <v>221</v>
      </c>
      <c r="F54" s="1" t="s">
        <v>202</v>
      </c>
    </row>
    <row r="55" spans="1:6" x14ac:dyDescent="0.25">
      <c r="A55" s="22">
        <v>66</v>
      </c>
      <c r="B55" s="8" t="s">
        <v>218</v>
      </c>
      <c r="C55" s="8">
        <v>10</v>
      </c>
      <c r="D55" t="s">
        <v>113</v>
      </c>
      <c r="F55" s="1"/>
    </row>
    <row r="56" spans="1:6" x14ac:dyDescent="0.25">
      <c r="A56" s="22">
        <v>67</v>
      </c>
      <c r="B56" s="8" t="s">
        <v>218</v>
      </c>
      <c r="C56" s="8">
        <v>9</v>
      </c>
      <c r="D56" t="s">
        <v>111</v>
      </c>
      <c r="F56" s="1"/>
    </row>
    <row r="57" spans="1:6" x14ac:dyDescent="0.25">
      <c r="A57" s="22">
        <v>69</v>
      </c>
      <c r="D57" t="s">
        <v>183</v>
      </c>
      <c r="E57" s="33" t="s">
        <v>254</v>
      </c>
      <c r="F57" s="14" t="s">
        <v>220</v>
      </c>
    </row>
    <row r="58" spans="1:6" x14ac:dyDescent="0.25">
      <c r="A58" s="22">
        <v>70</v>
      </c>
      <c r="B58" s="16" t="s">
        <v>231</v>
      </c>
      <c r="D58" t="s">
        <v>182</v>
      </c>
      <c r="E58" s="25" t="s">
        <v>231</v>
      </c>
      <c r="F58" s="1" t="s">
        <v>201</v>
      </c>
    </row>
    <row r="59" spans="1:6" x14ac:dyDescent="0.25">
      <c r="A59" s="22">
        <v>71</v>
      </c>
      <c r="B59" s="8" t="s">
        <v>218</v>
      </c>
      <c r="C59" s="8">
        <v>6</v>
      </c>
      <c r="D59" t="s">
        <v>181</v>
      </c>
      <c r="F59" s="14" t="s">
        <v>200</v>
      </c>
    </row>
    <row r="60" spans="1:6" x14ac:dyDescent="0.25">
      <c r="A60" s="22">
        <v>72</v>
      </c>
      <c r="D60" t="s">
        <v>108</v>
      </c>
      <c r="F60" s="1"/>
    </row>
    <row r="61" spans="1:6" x14ac:dyDescent="0.25">
      <c r="A61" s="22">
        <v>73</v>
      </c>
      <c r="B61" s="8" t="s">
        <v>218</v>
      </c>
      <c r="C61" s="8">
        <v>5</v>
      </c>
      <c r="D61" t="s">
        <v>198</v>
      </c>
      <c r="F61" s="1"/>
    </row>
    <row r="62" spans="1:6" x14ac:dyDescent="0.25">
      <c r="A62" s="22">
        <v>74</v>
      </c>
      <c r="B62" s="8" t="s">
        <v>218</v>
      </c>
      <c r="C62" s="8">
        <v>12</v>
      </c>
      <c r="D62" t="s">
        <v>180</v>
      </c>
      <c r="F62" s="1" t="s">
        <v>199</v>
      </c>
    </row>
    <row r="63" spans="1:6" x14ac:dyDescent="0.25">
      <c r="A63" s="22">
        <v>75</v>
      </c>
      <c r="B63" s="8" t="s">
        <v>218</v>
      </c>
      <c r="C63" s="8">
        <v>11</v>
      </c>
      <c r="D63" t="s">
        <v>105</v>
      </c>
    </row>
    <row r="64" spans="1:6" x14ac:dyDescent="0.25">
      <c r="A64" s="22">
        <v>78</v>
      </c>
      <c r="B64" s="8" t="s">
        <v>218</v>
      </c>
      <c r="C64" s="8">
        <v>14</v>
      </c>
      <c r="D64" t="s">
        <v>103</v>
      </c>
    </row>
    <row r="65" spans="1:4" x14ac:dyDescent="0.25">
      <c r="A65" s="22">
        <v>79</v>
      </c>
      <c r="B65" s="8" t="s">
        <v>218</v>
      </c>
      <c r="C65" s="8">
        <v>13</v>
      </c>
      <c r="D65" t="s">
        <v>101</v>
      </c>
    </row>
    <row r="66" spans="1:4" x14ac:dyDescent="0.25">
      <c r="A66" s="22">
        <v>80</v>
      </c>
      <c r="B66" s="8" t="s">
        <v>218</v>
      </c>
      <c r="C66" s="8">
        <v>16</v>
      </c>
      <c r="D66" t="s">
        <v>99</v>
      </c>
    </row>
    <row r="67" spans="1:4" x14ac:dyDescent="0.25">
      <c r="A67" s="22">
        <v>81</v>
      </c>
      <c r="B67" s="8" t="s">
        <v>218</v>
      </c>
      <c r="C67" s="8">
        <v>15</v>
      </c>
      <c r="D67" t="s">
        <v>97</v>
      </c>
    </row>
    <row r="68" spans="1:4" x14ac:dyDescent="0.25">
      <c r="A68" s="22">
        <v>82</v>
      </c>
      <c r="B68" s="8" t="s">
        <v>218</v>
      </c>
      <c r="C68" s="8">
        <v>19</v>
      </c>
      <c r="D68" t="s">
        <v>95</v>
      </c>
    </row>
    <row r="69" spans="1:4" x14ac:dyDescent="0.25">
      <c r="A69" s="22">
        <v>83</v>
      </c>
      <c r="B69" s="8" t="s">
        <v>218</v>
      </c>
      <c r="C69" s="8">
        <v>17</v>
      </c>
      <c r="D69" t="s">
        <v>93</v>
      </c>
    </row>
    <row r="70" spans="1:4" x14ac:dyDescent="0.25">
      <c r="A70" s="22">
        <v>84</v>
      </c>
      <c r="B70" s="8" t="s">
        <v>218</v>
      </c>
      <c r="C70" s="8">
        <v>20</v>
      </c>
      <c r="D70" s="6" t="s">
        <v>91</v>
      </c>
    </row>
    <row r="71" spans="1:4" x14ac:dyDescent="0.25">
      <c r="A71" s="22">
        <v>85</v>
      </c>
      <c r="B71" s="8" t="s">
        <v>218</v>
      </c>
      <c r="C71" s="8">
        <v>19</v>
      </c>
      <c r="D71" s="6" t="s">
        <v>89</v>
      </c>
    </row>
    <row r="72" spans="1:4" x14ac:dyDescent="0.25">
      <c r="A72" s="22">
        <v>87</v>
      </c>
      <c r="B72" s="8" t="s">
        <v>218</v>
      </c>
      <c r="C72" s="8">
        <v>22</v>
      </c>
      <c r="D72" s="6" t="s">
        <v>87</v>
      </c>
    </row>
    <row r="73" spans="1:4" x14ac:dyDescent="0.25">
      <c r="A73" s="22">
        <v>88</v>
      </c>
      <c r="B73" s="8" t="s">
        <v>218</v>
      </c>
      <c r="C73" s="8">
        <v>21</v>
      </c>
      <c r="D73" s="6" t="s">
        <v>85</v>
      </c>
    </row>
    <row r="74" spans="1:4" x14ac:dyDescent="0.25">
      <c r="A74" s="22">
        <v>92</v>
      </c>
      <c r="B74" s="8" t="s">
        <v>218</v>
      </c>
      <c r="C74" s="8">
        <v>24</v>
      </c>
      <c r="D74" s="6" t="s">
        <v>83</v>
      </c>
    </row>
    <row r="75" spans="1:4" x14ac:dyDescent="0.25">
      <c r="A75" s="22">
        <v>93</v>
      </c>
      <c r="B75" s="8" t="s">
        <v>218</v>
      </c>
      <c r="C75" s="8">
        <v>23</v>
      </c>
      <c r="D75" s="6" t="s">
        <v>81</v>
      </c>
    </row>
    <row r="76" spans="1:4" x14ac:dyDescent="0.25">
      <c r="A76" s="22">
        <v>94</v>
      </c>
      <c r="B76" s="8" t="s">
        <v>218</v>
      </c>
      <c r="C76" s="8">
        <v>26</v>
      </c>
      <c r="D76" s="6" t="s">
        <v>79</v>
      </c>
    </row>
    <row r="77" spans="1:4" x14ac:dyDescent="0.25">
      <c r="A77" s="22">
        <v>95</v>
      </c>
      <c r="B77" s="8" t="s">
        <v>218</v>
      </c>
      <c r="C77" s="8">
        <v>25</v>
      </c>
      <c r="D77" s="6" t="s">
        <v>77</v>
      </c>
    </row>
    <row r="78" spans="1:4" x14ac:dyDescent="0.25">
      <c r="A78" s="22">
        <v>97</v>
      </c>
      <c r="B78" s="8" t="s">
        <v>218</v>
      </c>
      <c r="C78" s="8">
        <v>28</v>
      </c>
      <c r="D78" t="s">
        <v>75</v>
      </c>
    </row>
    <row r="79" spans="1:4" x14ac:dyDescent="0.25">
      <c r="A79" s="22">
        <v>98</v>
      </c>
      <c r="B79" s="8" t="s">
        <v>218</v>
      </c>
      <c r="C79" s="8">
        <v>27</v>
      </c>
      <c r="D79" t="s">
        <v>73</v>
      </c>
    </row>
    <row r="80" spans="1:4" x14ac:dyDescent="0.25">
      <c r="A80" s="22">
        <v>99</v>
      </c>
      <c r="B80" s="8" t="s">
        <v>218</v>
      </c>
      <c r="C80" s="8">
        <v>30</v>
      </c>
      <c r="D80" t="s">
        <v>71</v>
      </c>
    </row>
    <row r="81" spans="1:4" x14ac:dyDescent="0.25">
      <c r="A81" s="22">
        <v>100</v>
      </c>
      <c r="B81" s="8" t="s">
        <v>218</v>
      </c>
      <c r="C81" s="8">
        <v>29</v>
      </c>
      <c r="D81" t="s">
        <v>69</v>
      </c>
    </row>
    <row r="82" spans="1:4" x14ac:dyDescent="0.25">
      <c r="A82" s="22">
        <v>101</v>
      </c>
      <c r="B82" s="8" t="s">
        <v>218</v>
      </c>
      <c r="C82" s="8">
        <v>32</v>
      </c>
      <c r="D82" t="s">
        <v>67</v>
      </c>
    </row>
    <row r="83" spans="1:4" x14ac:dyDescent="0.25">
      <c r="A83" s="22">
        <v>102</v>
      </c>
      <c r="B83" s="8" t="s">
        <v>218</v>
      </c>
      <c r="C83" s="8">
        <v>31</v>
      </c>
      <c r="D83" t="s">
        <v>65</v>
      </c>
    </row>
    <row r="84" spans="1:4" x14ac:dyDescent="0.25">
      <c r="A84" s="22">
        <v>104</v>
      </c>
      <c r="B84" s="8" t="s">
        <v>218</v>
      </c>
      <c r="C84" s="8">
        <v>34</v>
      </c>
      <c r="D84" t="s">
        <v>63</v>
      </c>
    </row>
    <row r="85" spans="1:4" x14ac:dyDescent="0.25">
      <c r="A85" s="22">
        <v>105</v>
      </c>
      <c r="B85" s="8" t="s">
        <v>218</v>
      </c>
      <c r="C85" s="8">
        <v>33</v>
      </c>
      <c r="D85" t="s">
        <v>61</v>
      </c>
    </row>
    <row r="86" spans="1:4" x14ac:dyDescent="0.25">
      <c r="A86" s="22">
        <v>106</v>
      </c>
      <c r="B86" s="8" t="s">
        <v>218</v>
      </c>
      <c r="C86" s="8">
        <v>46</v>
      </c>
      <c r="D86" s="7" t="s">
        <v>59</v>
      </c>
    </row>
    <row r="87" spans="1:4" x14ac:dyDescent="0.25">
      <c r="A87" s="22">
        <v>107</v>
      </c>
      <c r="B87" s="8" t="s">
        <v>218</v>
      </c>
      <c r="C87" s="8">
        <v>45</v>
      </c>
      <c r="D87" s="7" t="s">
        <v>57</v>
      </c>
    </row>
    <row r="88" spans="1:4" x14ac:dyDescent="0.25">
      <c r="A88" s="22">
        <v>109</v>
      </c>
      <c r="B88" s="8" t="s">
        <v>218</v>
      </c>
      <c r="C88" s="8">
        <v>48</v>
      </c>
      <c r="D88" s="7" t="s">
        <v>53</v>
      </c>
    </row>
    <row r="89" spans="1:4" x14ac:dyDescent="0.25">
      <c r="A89" s="22">
        <v>110</v>
      </c>
      <c r="B89" s="8" t="s">
        <v>218</v>
      </c>
      <c r="C89" s="8">
        <v>47</v>
      </c>
      <c r="D89" s="7" t="s">
        <v>55</v>
      </c>
    </row>
    <row r="90" spans="1:4" x14ac:dyDescent="0.25">
      <c r="A90" s="22">
        <v>111</v>
      </c>
      <c r="B90" s="8" t="s">
        <v>218</v>
      </c>
      <c r="C90" s="8">
        <v>36</v>
      </c>
      <c r="D90" t="s">
        <v>51</v>
      </c>
    </row>
    <row r="91" spans="1:4" x14ac:dyDescent="0.25">
      <c r="A91" s="22">
        <v>112</v>
      </c>
      <c r="B91" s="8" t="s">
        <v>218</v>
      </c>
      <c r="C91" s="8">
        <v>35</v>
      </c>
      <c r="D91" t="s">
        <v>49</v>
      </c>
    </row>
    <row r="92" spans="1:4" x14ac:dyDescent="0.25">
      <c r="A92" s="22">
        <v>114</v>
      </c>
      <c r="B92" s="8" t="s">
        <v>218</v>
      </c>
      <c r="C92" s="8">
        <v>38</v>
      </c>
      <c r="D92" t="s">
        <v>47</v>
      </c>
    </row>
    <row r="93" spans="1:4" x14ac:dyDescent="0.25">
      <c r="A93" s="22">
        <v>115</v>
      </c>
      <c r="B93" s="8" t="s">
        <v>218</v>
      </c>
      <c r="C93" s="8">
        <v>37</v>
      </c>
      <c r="D93" t="s">
        <v>45</v>
      </c>
    </row>
    <row r="94" spans="1:4" x14ac:dyDescent="0.25">
      <c r="A94" s="22">
        <v>116</v>
      </c>
      <c r="B94" s="8" t="s">
        <v>218</v>
      </c>
      <c r="C94" s="8">
        <v>40</v>
      </c>
      <c r="D94" t="s">
        <v>43</v>
      </c>
    </row>
    <row r="95" spans="1:4" x14ac:dyDescent="0.25">
      <c r="A95" s="22">
        <v>117</v>
      </c>
      <c r="B95" s="8" t="s">
        <v>218</v>
      </c>
      <c r="C95" s="8">
        <v>39</v>
      </c>
      <c r="D95" t="s">
        <v>41</v>
      </c>
    </row>
    <row r="96" spans="1:4" x14ac:dyDescent="0.25">
      <c r="A96" s="22">
        <v>118</v>
      </c>
      <c r="B96" s="8" t="s">
        <v>218</v>
      </c>
      <c r="C96" s="8">
        <v>42</v>
      </c>
      <c r="D96" t="s">
        <v>39</v>
      </c>
    </row>
    <row r="97" spans="1:5" x14ac:dyDescent="0.25">
      <c r="A97" s="22">
        <v>119</v>
      </c>
      <c r="B97" s="8" t="s">
        <v>218</v>
      </c>
      <c r="C97" s="8">
        <v>41</v>
      </c>
      <c r="D97" t="s">
        <v>37</v>
      </c>
    </row>
    <row r="98" spans="1:5" x14ac:dyDescent="0.25">
      <c r="A98" s="22">
        <v>120</v>
      </c>
      <c r="B98" s="8" t="s">
        <v>218</v>
      </c>
      <c r="C98" s="8">
        <v>44</v>
      </c>
      <c r="D98" t="s">
        <v>35</v>
      </c>
    </row>
    <row r="99" spans="1:5" x14ac:dyDescent="0.25">
      <c r="A99" s="22">
        <v>121</v>
      </c>
      <c r="B99" s="8" t="s">
        <v>218</v>
      </c>
      <c r="C99" s="8">
        <v>43</v>
      </c>
      <c r="D99" t="s">
        <v>33</v>
      </c>
    </row>
    <row r="100" spans="1:5" x14ac:dyDescent="0.25">
      <c r="A100" s="22">
        <v>123</v>
      </c>
      <c r="B100" s="2" t="s">
        <v>215</v>
      </c>
      <c r="C100" s="2">
        <v>50</v>
      </c>
      <c r="D100" s="6" t="s">
        <v>31</v>
      </c>
      <c r="E100" s="32" t="s">
        <v>269</v>
      </c>
    </row>
    <row r="101" spans="1:5" x14ac:dyDescent="0.25">
      <c r="A101" s="22">
        <v>124</v>
      </c>
      <c r="B101" s="2" t="s">
        <v>215</v>
      </c>
      <c r="C101" s="2">
        <v>49</v>
      </c>
      <c r="D101" s="6" t="s">
        <v>29</v>
      </c>
      <c r="E101" s="32" t="s">
        <v>268</v>
      </c>
    </row>
    <row r="102" spans="1:5" x14ac:dyDescent="0.25">
      <c r="A102" s="22">
        <v>126</v>
      </c>
      <c r="B102" s="2" t="s">
        <v>215</v>
      </c>
      <c r="C102" s="2">
        <v>48</v>
      </c>
      <c r="D102" s="6" t="s">
        <v>27</v>
      </c>
      <c r="E102" s="32" t="s">
        <v>267</v>
      </c>
    </row>
    <row r="103" spans="1:5" x14ac:dyDescent="0.25">
      <c r="A103" s="22">
        <v>127</v>
      </c>
      <c r="B103" s="2" t="s">
        <v>215</v>
      </c>
      <c r="C103" s="2">
        <v>47</v>
      </c>
      <c r="D103" s="6" t="s">
        <v>25</v>
      </c>
      <c r="E103" s="32" t="s">
        <v>266</v>
      </c>
    </row>
    <row r="104" spans="1:5" x14ac:dyDescent="0.25">
      <c r="A104" s="22">
        <v>131</v>
      </c>
      <c r="B104" s="2" t="s">
        <v>215</v>
      </c>
      <c r="C104" s="2">
        <v>46</v>
      </c>
      <c r="D104" s="6" t="s">
        <v>23</v>
      </c>
      <c r="E104" s="32" t="s">
        <v>265</v>
      </c>
    </row>
    <row r="105" spans="1:5" x14ac:dyDescent="0.25">
      <c r="A105" s="22">
        <v>132</v>
      </c>
      <c r="B105" s="2" t="s">
        <v>215</v>
      </c>
      <c r="C105" s="2">
        <v>45</v>
      </c>
      <c r="D105" s="6" t="s">
        <v>21</v>
      </c>
      <c r="E105" s="32" t="s">
        <v>264</v>
      </c>
    </row>
    <row r="106" spans="1:5" x14ac:dyDescent="0.25">
      <c r="A106" s="22">
        <v>133</v>
      </c>
      <c r="B106" s="2" t="s">
        <v>215</v>
      </c>
      <c r="C106" s="2">
        <v>44</v>
      </c>
      <c r="D106" s="6" t="s">
        <v>19</v>
      </c>
      <c r="E106" s="32" t="s">
        <v>263</v>
      </c>
    </row>
    <row r="107" spans="1:5" x14ac:dyDescent="0.25">
      <c r="A107" s="22">
        <v>134</v>
      </c>
      <c r="B107" s="2" t="s">
        <v>215</v>
      </c>
      <c r="C107" s="2">
        <v>43</v>
      </c>
      <c r="D107" s="6" t="s">
        <v>17</v>
      </c>
      <c r="E107" s="32" t="s">
        <v>262</v>
      </c>
    </row>
    <row r="108" spans="1:5" x14ac:dyDescent="0.25">
      <c r="A108" s="22">
        <v>137</v>
      </c>
      <c r="B108" s="2" t="s">
        <v>215</v>
      </c>
      <c r="C108" s="2">
        <v>42</v>
      </c>
      <c r="D108" t="s">
        <v>15</v>
      </c>
    </row>
    <row r="109" spans="1:5" x14ac:dyDescent="0.25">
      <c r="A109" s="22">
        <v>138</v>
      </c>
      <c r="B109" s="2" t="s">
        <v>215</v>
      </c>
      <c r="C109" s="2">
        <v>41</v>
      </c>
      <c r="D109" t="s">
        <v>13</v>
      </c>
    </row>
    <row r="110" spans="1:5" x14ac:dyDescent="0.25">
      <c r="A110" s="22">
        <v>139</v>
      </c>
      <c r="B110" s="2" t="s">
        <v>215</v>
      </c>
      <c r="C110" s="2">
        <v>40</v>
      </c>
      <c r="D110" t="s">
        <v>11</v>
      </c>
    </row>
    <row r="111" spans="1:5" x14ac:dyDescent="0.25">
      <c r="A111" s="22">
        <v>140</v>
      </c>
      <c r="B111" s="2" t="s">
        <v>215</v>
      </c>
      <c r="C111" s="2">
        <v>39</v>
      </c>
      <c r="D111" t="s">
        <v>9</v>
      </c>
    </row>
    <row r="112" spans="1:5" x14ac:dyDescent="0.25">
      <c r="A112" s="22">
        <v>141</v>
      </c>
      <c r="B112" s="2" t="s">
        <v>215</v>
      </c>
      <c r="C112" s="2">
        <v>38</v>
      </c>
      <c r="D112" t="s">
        <v>7</v>
      </c>
    </row>
    <row r="113" spans="1:4" x14ac:dyDescent="0.25">
      <c r="A113" s="22">
        <v>142</v>
      </c>
      <c r="B113" s="2" t="s">
        <v>215</v>
      </c>
      <c r="C113" s="2">
        <v>37</v>
      </c>
      <c r="D113" t="s">
        <v>5</v>
      </c>
    </row>
    <row r="114" spans="1:4" x14ac:dyDescent="0.25">
      <c r="A114" s="22">
        <v>143</v>
      </c>
      <c r="B114" s="2" t="s">
        <v>215</v>
      </c>
      <c r="C114" s="2">
        <v>36</v>
      </c>
      <c r="D114" t="s">
        <v>3</v>
      </c>
    </row>
    <row r="115" spans="1:4" x14ac:dyDescent="0.25">
      <c r="A115" s="22">
        <v>144</v>
      </c>
      <c r="B115" s="2" t="s">
        <v>215</v>
      </c>
      <c r="C115" s="2">
        <v>35</v>
      </c>
      <c r="D115" t="s">
        <v>1</v>
      </c>
    </row>
  </sheetData>
  <sortState ref="A2:I117">
    <sortCondition ref="A2:A117"/>
  </sortState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3"/>
  <sheetViews>
    <sheetView topLeftCell="A37" workbookViewId="0">
      <selection activeCell="D61" sqref="D61"/>
    </sheetView>
  </sheetViews>
  <sheetFormatPr baseColWidth="10" defaultRowHeight="15" x14ac:dyDescent="0.25"/>
  <cols>
    <col min="1" max="1" width="7.140625" style="1" customWidth="1"/>
    <col min="2" max="2" width="7.140625" style="4" customWidth="1"/>
    <col min="3" max="3" width="13.7109375" style="3" customWidth="1"/>
    <col min="4" max="4" width="30.7109375" customWidth="1"/>
    <col min="5" max="6" width="14.7109375" style="1" customWidth="1"/>
    <col min="7" max="7" width="12.85546875" customWidth="1"/>
    <col min="8" max="8" width="13.5703125" customWidth="1"/>
  </cols>
  <sheetData>
    <row r="1" spans="1:7" x14ac:dyDescent="0.25">
      <c r="A1" s="4" t="s">
        <v>216</v>
      </c>
      <c r="B1" s="4" t="s">
        <v>217</v>
      </c>
      <c r="C1" s="3" t="s">
        <v>219</v>
      </c>
      <c r="D1" s="3" t="s">
        <v>179</v>
      </c>
      <c r="E1" s="4" t="s">
        <v>232</v>
      </c>
      <c r="F1" s="18" t="s">
        <v>281</v>
      </c>
      <c r="G1" s="4" t="s">
        <v>257</v>
      </c>
    </row>
    <row r="2" spans="1:7" x14ac:dyDescent="0.25">
      <c r="A2" s="8" t="s">
        <v>218</v>
      </c>
      <c r="B2" s="10">
        <v>1</v>
      </c>
      <c r="C2" s="12"/>
      <c r="D2" s="23" t="s">
        <v>254</v>
      </c>
      <c r="E2" s="4"/>
      <c r="F2" s="4"/>
    </row>
    <row r="3" spans="1:7" x14ac:dyDescent="0.25">
      <c r="A3" s="8" t="s">
        <v>218</v>
      </c>
      <c r="B3" s="10">
        <v>2</v>
      </c>
      <c r="C3" s="12"/>
      <c r="D3" s="23" t="s">
        <v>255</v>
      </c>
      <c r="E3" s="4"/>
      <c r="F3" s="4"/>
    </row>
    <row r="4" spans="1:7" x14ac:dyDescent="0.25">
      <c r="A4" s="8" t="s">
        <v>218</v>
      </c>
      <c r="B4" s="10">
        <v>3</v>
      </c>
      <c r="C4" s="12"/>
      <c r="D4" s="23" t="s">
        <v>254</v>
      </c>
      <c r="E4" s="4"/>
      <c r="F4" s="4"/>
    </row>
    <row r="5" spans="1:7" x14ac:dyDescent="0.25">
      <c r="A5" s="8" t="s">
        <v>218</v>
      </c>
      <c r="B5" s="10">
        <v>4</v>
      </c>
      <c r="C5" s="12"/>
      <c r="D5" s="23" t="s">
        <v>256</v>
      </c>
      <c r="E5" s="4"/>
      <c r="F5" s="4"/>
    </row>
    <row r="6" spans="1:7" x14ac:dyDescent="0.25">
      <c r="A6" s="8" t="s">
        <v>218</v>
      </c>
      <c r="B6" s="10">
        <v>5</v>
      </c>
      <c r="C6" s="12" t="s">
        <v>107</v>
      </c>
      <c r="D6" t="s">
        <v>198</v>
      </c>
    </row>
    <row r="7" spans="1:7" x14ac:dyDescent="0.25">
      <c r="A7" s="8" t="s">
        <v>218</v>
      </c>
      <c r="B7" s="10">
        <v>6</v>
      </c>
      <c r="C7" s="12" t="s">
        <v>109</v>
      </c>
      <c r="D7" t="s">
        <v>181</v>
      </c>
      <c r="G7" t="s">
        <v>258</v>
      </c>
    </row>
    <row r="8" spans="1:7" x14ac:dyDescent="0.25">
      <c r="A8" s="8" t="s">
        <v>218</v>
      </c>
      <c r="B8" s="10">
        <v>7</v>
      </c>
      <c r="C8" s="12" t="s">
        <v>115</v>
      </c>
      <c r="D8" t="s">
        <v>249</v>
      </c>
      <c r="G8" t="str">
        <f xml:space="preserve"> CONCATENATE("NET """,$A8,"_",B8,""" LOC = ",$C8," | IOSTANDARD = LVCMOS33;   # ",D8)</f>
        <v>NET "SV1_7" LOC = P58 | IOSTANDARD = LVCMOS33;   # IO_L14P_D11_2</v>
      </c>
    </row>
    <row r="9" spans="1:7" x14ac:dyDescent="0.25">
      <c r="A9" s="8" t="s">
        <v>218</v>
      </c>
      <c r="B9" s="10">
        <v>8</v>
      </c>
      <c r="C9" s="12" t="s">
        <v>117</v>
      </c>
      <c r="D9" t="s">
        <v>250</v>
      </c>
      <c r="G9" t="str">
        <f t="shared" ref="G9:G45" si="0" xml:space="preserve"> CONCATENATE("NET """,$A9,"_",B9,""" LOC = ",$C9," | IOSTANDARD = LVCMOS33;   # ",D9)</f>
        <v>NET "SV1_8" LOC = P57 | IOSTANDARD = LVCMOS33;   # IO_L14N_D12_2</v>
      </c>
    </row>
    <row r="10" spans="1:7" x14ac:dyDescent="0.25">
      <c r="A10" s="8" t="s">
        <v>218</v>
      </c>
      <c r="B10" s="10">
        <v>9</v>
      </c>
      <c r="C10" s="12" t="s">
        <v>110</v>
      </c>
      <c r="D10" t="s">
        <v>111</v>
      </c>
      <c r="G10" t="str">
        <f t="shared" si="0"/>
        <v xml:space="preserve">NET "SV1_9" LOC = P67 | IOSTANDARD = LVCMOS33;   # IO_L2P_CMPCLK_2 </v>
      </c>
    </row>
    <row r="11" spans="1:7" x14ac:dyDescent="0.25">
      <c r="A11" s="8" t="s">
        <v>218</v>
      </c>
      <c r="B11" s="10">
        <v>10</v>
      </c>
      <c r="C11" s="12" t="s">
        <v>112</v>
      </c>
      <c r="D11" t="s">
        <v>113</v>
      </c>
      <c r="G11" t="str">
        <f t="shared" si="0"/>
        <v xml:space="preserve">NET "SV1_10" LOC = P66 | IOSTANDARD = LVCMOS33;   # IO_L2N_CMPMOSI_2 </v>
      </c>
    </row>
    <row r="12" spans="1:7" x14ac:dyDescent="0.25">
      <c r="A12" s="8" t="s">
        <v>218</v>
      </c>
      <c r="B12" s="10">
        <v>11</v>
      </c>
      <c r="C12" s="12" t="s">
        <v>104</v>
      </c>
      <c r="D12" t="s">
        <v>105</v>
      </c>
      <c r="G12" t="str">
        <f t="shared" si="0"/>
        <v xml:space="preserve">NET "SV1_11" LOC = P75 | IOSTANDARD = LVCMOS33;   # IO_L74P_AWAKE_1 </v>
      </c>
    </row>
    <row r="13" spans="1:7" x14ac:dyDescent="0.25">
      <c r="A13" s="8" t="s">
        <v>218</v>
      </c>
      <c r="B13" s="10">
        <v>12</v>
      </c>
      <c r="C13" s="12" t="s">
        <v>106</v>
      </c>
      <c r="D13" t="s">
        <v>180</v>
      </c>
      <c r="G13" t="str">
        <f t="shared" si="0"/>
        <v>NET "SV1_12" LOC = P74 | IOSTANDARD = LVCMOS33;   # IO_L74N_DOUT_BUSY_1</v>
      </c>
    </row>
    <row r="14" spans="1:7" x14ac:dyDescent="0.25">
      <c r="A14" s="8" t="s">
        <v>218</v>
      </c>
      <c r="B14" s="10">
        <v>13</v>
      </c>
      <c r="C14" s="12" t="s">
        <v>100</v>
      </c>
      <c r="D14" t="s">
        <v>101</v>
      </c>
      <c r="G14" t="str">
        <f t="shared" si="0"/>
        <v xml:space="preserve">NET "SV1_13" LOC = P79 | IOSTANDARD = LVCMOS33;   # IO_L47P_1 </v>
      </c>
    </row>
    <row r="15" spans="1:7" x14ac:dyDescent="0.25">
      <c r="A15" s="8" t="s">
        <v>218</v>
      </c>
      <c r="B15" s="10">
        <v>14</v>
      </c>
      <c r="C15" s="12" t="s">
        <v>102</v>
      </c>
      <c r="D15" t="s">
        <v>103</v>
      </c>
      <c r="G15" t="str">
        <f t="shared" si="0"/>
        <v xml:space="preserve">NET "SV1_14" LOC = P78 | IOSTANDARD = LVCMOS33;   # IO_L47N_1 </v>
      </c>
    </row>
    <row r="16" spans="1:7" x14ac:dyDescent="0.25">
      <c r="A16" s="8" t="s">
        <v>218</v>
      </c>
      <c r="B16" s="10">
        <v>15</v>
      </c>
      <c r="C16" s="12" t="s">
        <v>96</v>
      </c>
      <c r="D16" t="s">
        <v>97</v>
      </c>
      <c r="G16" t="str">
        <f t="shared" si="0"/>
        <v xml:space="preserve">NET "SV1_15" LOC = P81 | IOSTANDARD = LVCMOS33;   # IO_L46P_1 </v>
      </c>
    </row>
    <row r="17" spans="1:7" x14ac:dyDescent="0.25">
      <c r="A17" s="8" t="s">
        <v>218</v>
      </c>
      <c r="B17" s="10">
        <v>16</v>
      </c>
      <c r="C17" s="12" t="s">
        <v>98</v>
      </c>
      <c r="D17" t="s">
        <v>99</v>
      </c>
      <c r="G17" t="str">
        <f t="shared" si="0"/>
        <v xml:space="preserve">NET "SV1_16" LOC = P80 | IOSTANDARD = LVCMOS33;   # IO_L46N_1 </v>
      </c>
    </row>
    <row r="18" spans="1:7" x14ac:dyDescent="0.25">
      <c r="A18" s="8" t="s">
        <v>218</v>
      </c>
      <c r="B18" s="10">
        <v>17</v>
      </c>
      <c r="C18" s="12" t="s">
        <v>92</v>
      </c>
      <c r="D18" t="s">
        <v>93</v>
      </c>
      <c r="G18" t="str">
        <f t="shared" si="0"/>
        <v xml:space="preserve">NET "SV1_17" LOC = P83 | IOSTANDARD = LVCMOS33;   # IO_L45P_1 </v>
      </c>
    </row>
    <row r="19" spans="1:7" x14ac:dyDescent="0.25">
      <c r="A19" s="8" t="s">
        <v>218</v>
      </c>
      <c r="B19" s="10">
        <v>19</v>
      </c>
      <c r="C19" s="12" t="s">
        <v>88</v>
      </c>
      <c r="D19" s="6" t="s">
        <v>89</v>
      </c>
      <c r="G19" t="str">
        <f t="shared" si="0"/>
        <v xml:space="preserve">NET "SV1_19" LOC = P85 | IOSTANDARD = LVCMOS33;   # IO_L43P_GCLK5_1 </v>
      </c>
    </row>
    <row r="20" spans="1:7" x14ac:dyDescent="0.25">
      <c r="A20" s="8" t="s">
        <v>218</v>
      </c>
      <c r="B20" s="10">
        <v>19</v>
      </c>
      <c r="C20" s="12" t="s">
        <v>94</v>
      </c>
      <c r="D20" t="s">
        <v>95</v>
      </c>
      <c r="G20" t="str">
        <f t="shared" si="0"/>
        <v xml:space="preserve">NET "SV1_19" LOC = P82 | IOSTANDARD = LVCMOS33;   # IO_L45N_1 </v>
      </c>
    </row>
    <row r="21" spans="1:7" x14ac:dyDescent="0.25">
      <c r="A21" s="8" t="s">
        <v>218</v>
      </c>
      <c r="B21" s="10">
        <v>20</v>
      </c>
      <c r="C21" s="12" t="s">
        <v>90</v>
      </c>
      <c r="D21" s="6" t="s">
        <v>91</v>
      </c>
      <c r="G21" t="str">
        <f t="shared" si="0"/>
        <v xml:space="preserve">NET "SV1_20" LOC = P84 | IOSTANDARD = LVCMOS33;   # IO_L43N_GCLK4_1 </v>
      </c>
    </row>
    <row r="22" spans="1:7" x14ac:dyDescent="0.25">
      <c r="A22" s="8" t="s">
        <v>218</v>
      </c>
      <c r="B22" s="10">
        <v>21</v>
      </c>
      <c r="C22" s="12" t="s">
        <v>84</v>
      </c>
      <c r="D22" s="6" t="s">
        <v>85</v>
      </c>
      <c r="G22" t="str">
        <f t="shared" si="0"/>
        <v xml:space="preserve">NET "SV1_21" LOC = P88 | IOSTANDARD = LVCMOS33;   # IO_L42P_GCLK7_1 </v>
      </c>
    </row>
    <row r="23" spans="1:7" x14ac:dyDescent="0.25">
      <c r="A23" s="8" t="s">
        <v>218</v>
      </c>
      <c r="B23" s="10">
        <v>22</v>
      </c>
      <c r="C23" s="12" t="s">
        <v>86</v>
      </c>
      <c r="D23" s="17" t="s">
        <v>87</v>
      </c>
      <c r="E23" s="25" t="s">
        <v>237</v>
      </c>
      <c r="G23" t="str">
        <f t="shared" si="0"/>
        <v xml:space="preserve">NET "SV1_22" LOC = P87 | IOSTANDARD = LVCMOS33;   # IO_L42N_GCLK6_TRDY1_1 </v>
      </c>
    </row>
    <row r="24" spans="1:7" x14ac:dyDescent="0.25">
      <c r="A24" s="8" t="s">
        <v>218</v>
      </c>
      <c r="B24" s="10">
        <v>23</v>
      </c>
      <c r="C24" s="12" t="s">
        <v>80</v>
      </c>
      <c r="D24" s="17" t="s">
        <v>81</v>
      </c>
      <c r="E24" s="25" t="s">
        <v>238</v>
      </c>
      <c r="G24" t="str">
        <f t="shared" si="0"/>
        <v xml:space="preserve">NET "SV1_23" LOC = P93 | IOSTANDARD = LVCMOS33;   # IO_L41P_GCLK9_IRDY1_1 </v>
      </c>
    </row>
    <row r="25" spans="1:7" x14ac:dyDescent="0.25">
      <c r="A25" s="8" t="s">
        <v>218</v>
      </c>
      <c r="B25" s="10">
        <v>24</v>
      </c>
      <c r="C25" s="12" t="s">
        <v>82</v>
      </c>
      <c r="D25" s="17" t="s">
        <v>83</v>
      </c>
      <c r="E25" s="25" t="s">
        <v>239</v>
      </c>
      <c r="G25" t="str">
        <f t="shared" si="0"/>
        <v xml:space="preserve">NET "SV1_24" LOC = P92 | IOSTANDARD = LVCMOS33;   # IO_L41N_GCLK8_1 </v>
      </c>
    </row>
    <row r="26" spans="1:7" x14ac:dyDescent="0.25">
      <c r="A26" s="8" t="s">
        <v>218</v>
      </c>
      <c r="B26" s="10">
        <v>25</v>
      </c>
      <c r="C26" s="12" t="s">
        <v>76</v>
      </c>
      <c r="D26" s="17" t="s">
        <v>77</v>
      </c>
      <c r="E26" s="25" t="s">
        <v>240</v>
      </c>
      <c r="G26" t="str">
        <f t="shared" si="0"/>
        <v xml:space="preserve">NET "SV1_25" LOC = P95 | IOSTANDARD = LVCMOS33;   # IO_L40P_GCLK11_1 </v>
      </c>
    </row>
    <row r="27" spans="1:7" x14ac:dyDescent="0.25">
      <c r="A27" s="8" t="s">
        <v>218</v>
      </c>
      <c r="B27" s="10">
        <v>26</v>
      </c>
      <c r="C27" s="12" t="s">
        <v>78</v>
      </c>
      <c r="D27" s="17" t="s">
        <v>79</v>
      </c>
      <c r="E27" s="25" t="s">
        <v>241</v>
      </c>
      <c r="G27" t="str">
        <f t="shared" si="0"/>
        <v xml:space="preserve">NET "SV1_26" LOC = P94 | IOSTANDARD = LVCMOS33;   # IO_L40N_GCLK10_1 </v>
      </c>
    </row>
    <row r="28" spans="1:7" x14ac:dyDescent="0.25">
      <c r="A28" s="8" t="s">
        <v>218</v>
      </c>
      <c r="B28" s="10">
        <v>27</v>
      </c>
      <c r="C28" s="12" t="s">
        <v>72</v>
      </c>
      <c r="D28" t="s">
        <v>73</v>
      </c>
      <c r="G28" t="str">
        <f t="shared" si="0"/>
        <v xml:space="preserve">NET "SV1_27" LOC = P98 | IOSTANDARD = LVCMOS33;   # IO_L34P_1 </v>
      </c>
    </row>
    <row r="29" spans="1:7" x14ac:dyDescent="0.25">
      <c r="A29" s="8" t="s">
        <v>218</v>
      </c>
      <c r="B29" s="10">
        <v>28</v>
      </c>
      <c r="C29" s="12" t="s">
        <v>74</v>
      </c>
      <c r="D29" t="s">
        <v>75</v>
      </c>
      <c r="G29" t="str">
        <f t="shared" si="0"/>
        <v xml:space="preserve">NET "SV1_28" LOC = P97 | IOSTANDARD = LVCMOS33;   # IO_L34N_1 </v>
      </c>
    </row>
    <row r="30" spans="1:7" x14ac:dyDescent="0.25">
      <c r="A30" s="8" t="s">
        <v>218</v>
      </c>
      <c r="B30" s="10">
        <v>29</v>
      </c>
      <c r="C30" s="12" t="s">
        <v>68</v>
      </c>
      <c r="D30" t="s">
        <v>69</v>
      </c>
      <c r="G30" t="str">
        <f t="shared" si="0"/>
        <v xml:space="preserve">NET "SV1_29" LOC = P100 | IOSTANDARD = LVCMOS33;   # IO_L33P_1 </v>
      </c>
    </row>
    <row r="31" spans="1:7" x14ac:dyDescent="0.25">
      <c r="A31" s="8" t="s">
        <v>218</v>
      </c>
      <c r="B31" s="10">
        <v>30</v>
      </c>
      <c r="C31" s="12" t="s">
        <v>70</v>
      </c>
      <c r="D31" t="s">
        <v>71</v>
      </c>
      <c r="G31" t="str">
        <f t="shared" si="0"/>
        <v xml:space="preserve">NET "SV1_30" LOC = P99 | IOSTANDARD = LVCMOS33;   # IO_L33N_1 </v>
      </c>
    </row>
    <row r="32" spans="1:7" x14ac:dyDescent="0.25">
      <c r="A32" s="8" t="s">
        <v>218</v>
      </c>
      <c r="B32" s="10">
        <v>31</v>
      </c>
      <c r="C32" s="12" t="s">
        <v>64</v>
      </c>
      <c r="D32" t="s">
        <v>65</v>
      </c>
      <c r="G32" t="str">
        <f t="shared" si="0"/>
        <v xml:space="preserve">NET "SV1_31" LOC = P102 | IOSTANDARD = LVCMOS33;   # IO_L32P_1 </v>
      </c>
    </row>
    <row r="33" spans="1:7" x14ac:dyDescent="0.25">
      <c r="A33" s="8" t="s">
        <v>218</v>
      </c>
      <c r="B33" s="10">
        <v>32</v>
      </c>
      <c r="C33" s="12" t="s">
        <v>66</v>
      </c>
      <c r="D33" t="s">
        <v>67</v>
      </c>
      <c r="G33" t="str">
        <f t="shared" si="0"/>
        <v xml:space="preserve">NET "SV1_32" LOC = P101 | IOSTANDARD = LVCMOS33;   # IO_L32N_1 </v>
      </c>
    </row>
    <row r="34" spans="1:7" x14ac:dyDescent="0.25">
      <c r="A34" s="8" t="s">
        <v>218</v>
      </c>
      <c r="B34" s="10">
        <v>33</v>
      </c>
      <c r="C34" s="12" t="s">
        <v>60</v>
      </c>
      <c r="D34" t="s">
        <v>61</v>
      </c>
      <c r="G34" t="str">
        <f t="shared" si="0"/>
        <v xml:space="preserve">NET "SV1_33" LOC = P105 | IOSTANDARD = LVCMOS33;   # IO_L1P_1 </v>
      </c>
    </row>
    <row r="35" spans="1:7" x14ac:dyDescent="0.25">
      <c r="A35" s="8" t="s">
        <v>218</v>
      </c>
      <c r="B35" s="10">
        <v>34</v>
      </c>
      <c r="C35" s="12" t="s">
        <v>62</v>
      </c>
      <c r="D35" t="s">
        <v>63</v>
      </c>
      <c r="G35" t="str">
        <f t="shared" si="0"/>
        <v xml:space="preserve">NET "SV1_34" LOC = P104 | IOSTANDARD = LVCMOS33;   # IO_L1N_VREF_1 </v>
      </c>
    </row>
    <row r="36" spans="1:7" x14ac:dyDescent="0.25">
      <c r="A36" s="8" t="s">
        <v>218</v>
      </c>
      <c r="B36" s="10">
        <v>35</v>
      </c>
      <c r="C36" s="12" t="s">
        <v>48</v>
      </c>
      <c r="D36" t="s">
        <v>49</v>
      </c>
      <c r="G36" t="str">
        <f t="shared" si="0"/>
        <v xml:space="preserve">NET "SV1_35" LOC = P112 | IOSTANDARD = LVCMOS33;   # IO_L66P_SCP1_0 </v>
      </c>
    </row>
    <row r="37" spans="1:7" x14ac:dyDescent="0.25">
      <c r="A37" s="8" t="s">
        <v>218</v>
      </c>
      <c r="B37" s="10">
        <v>36</v>
      </c>
      <c r="C37" s="12" t="s">
        <v>50</v>
      </c>
      <c r="D37" t="s">
        <v>51</v>
      </c>
      <c r="G37" t="str">
        <f t="shared" si="0"/>
        <v xml:space="preserve">NET "SV1_36" LOC = P111 | IOSTANDARD = LVCMOS33;   # IO_L66N_SCP0_0 </v>
      </c>
    </row>
    <row r="38" spans="1:7" x14ac:dyDescent="0.25">
      <c r="A38" s="8" t="s">
        <v>218</v>
      </c>
      <c r="B38" s="10">
        <v>37</v>
      </c>
      <c r="C38" s="12" t="s">
        <v>44</v>
      </c>
      <c r="D38" t="s">
        <v>45</v>
      </c>
      <c r="G38" t="str">
        <f t="shared" si="0"/>
        <v xml:space="preserve">NET "SV1_37" LOC = P115 | IOSTANDARD = LVCMOS33;   # IO_L65P_SCP3_0 </v>
      </c>
    </row>
    <row r="39" spans="1:7" x14ac:dyDescent="0.25">
      <c r="A39" s="8" t="s">
        <v>218</v>
      </c>
      <c r="B39" s="10">
        <v>38</v>
      </c>
      <c r="C39" s="12" t="s">
        <v>46</v>
      </c>
      <c r="D39" t="s">
        <v>47</v>
      </c>
      <c r="G39" t="str">
        <f t="shared" si="0"/>
        <v xml:space="preserve">NET "SV1_38" LOC = P114 | IOSTANDARD = LVCMOS33;   # IO_L65N_SCP2_0 </v>
      </c>
    </row>
    <row r="40" spans="1:7" x14ac:dyDescent="0.25">
      <c r="A40" s="8" t="s">
        <v>218</v>
      </c>
      <c r="B40" s="10">
        <v>39</v>
      </c>
      <c r="C40" s="12" t="s">
        <v>40</v>
      </c>
      <c r="D40" t="s">
        <v>41</v>
      </c>
      <c r="G40" t="str">
        <f t="shared" si="0"/>
        <v xml:space="preserve">NET "SV1_39" LOC = P117 | IOSTANDARD = LVCMOS33;   # IO_L64P_SCP5_0 </v>
      </c>
    </row>
    <row r="41" spans="1:7" x14ac:dyDescent="0.25">
      <c r="A41" s="8" t="s">
        <v>218</v>
      </c>
      <c r="B41" s="10">
        <v>40</v>
      </c>
      <c r="C41" s="12" t="s">
        <v>42</v>
      </c>
      <c r="D41" t="s">
        <v>43</v>
      </c>
      <c r="G41" t="str">
        <f t="shared" si="0"/>
        <v xml:space="preserve">NET "SV1_40" LOC = P116 | IOSTANDARD = LVCMOS33;   # IO_L64N_SCP4_0 </v>
      </c>
    </row>
    <row r="42" spans="1:7" x14ac:dyDescent="0.25">
      <c r="A42" s="8" t="s">
        <v>218</v>
      </c>
      <c r="B42" s="10">
        <v>41</v>
      </c>
      <c r="C42" s="12" t="s">
        <v>36</v>
      </c>
      <c r="D42" t="s">
        <v>37</v>
      </c>
      <c r="G42" t="str">
        <f t="shared" si="0"/>
        <v xml:space="preserve">NET "SV1_41" LOC = P119 | IOSTANDARD = LVCMOS33;   # IO_L63P_SCP7_0 </v>
      </c>
    </row>
    <row r="43" spans="1:7" x14ac:dyDescent="0.25">
      <c r="A43" s="8" t="s">
        <v>218</v>
      </c>
      <c r="B43" s="10">
        <v>42</v>
      </c>
      <c r="C43" s="12" t="s">
        <v>38</v>
      </c>
      <c r="D43" t="s">
        <v>39</v>
      </c>
      <c r="G43" t="str">
        <f t="shared" si="0"/>
        <v xml:space="preserve">NET "SV1_42" LOC = P118 | IOSTANDARD = LVCMOS33;   # IO_L63N_SCP6_0 </v>
      </c>
    </row>
    <row r="44" spans="1:7" x14ac:dyDescent="0.25">
      <c r="A44" s="8" t="s">
        <v>218</v>
      </c>
      <c r="B44" s="10">
        <v>43</v>
      </c>
      <c r="C44" s="12" t="s">
        <v>32</v>
      </c>
      <c r="D44" t="s">
        <v>33</v>
      </c>
      <c r="G44" t="str">
        <f t="shared" si="0"/>
        <v xml:space="preserve">NET "SV1_43" LOC = P121 | IOSTANDARD = LVCMOS33;   # IO_L62P_0 </v>
      </c>
    </row>
    <row r="45" spans="1:7" x14ac:dyDescent="0.25">
      <c r="A45" s="8" t="s">
        <v>218</v>
      </c>
      <c r="B45" s="10">
        <v>44</v>
      </c>
      <c r="C45" s="12" t="s">
        <v>34</v>
      </c>
      <c r="D45" t="s">
        <v>35</v>
      </c>
      <c r="G45" t="str">
        <f t="shared" si="0"/>
        <v xml:space="preserve">NET "SV1_44" LOC = P120 | IOSTANDARD = LVCMOS33;   # IO_L62N_VREF_0 </v>
      </c>
    </row>
    <row r="46" spans="1:7" x14ac:dyDescent="0.25">
      <c r="A46" s="8" t="s">
        <v>218</v>
      </c>
      <c r="B46" s="10">
        <v>45</v>
      </c>
      <c r="C46" s="12" t="s">
        <v>56</v>
      </c>
      <c r="D46" s="24" t="s">
        <v>57</v>
      </c>
      <c r="E46" s="25" t="s">
        <v>233</v>
      </c>
    </row>
    <row r="47" spans="1:7" x14ac:dyDescent="0.25">
      <c r="A47" s="8" t="s">
        <v>218</v>
      </c>
      <c r="B47" s="10">
        <v>46</v>
      </c>
      <c r="C47" s="12" t="s">
        <v>58</v>
      </c>
      <c r="D47" s="24" t="s">
        <v>59</v>
      </c>
      <c r="E47" s="25" t="s">
        <v>234</v>
      </c>
    </row>
    <row r="48" spans="1:7" x14ac:dyDescent="0.25">
      <c r="A48" s="8" t="s">
        <v>218</v>
      </c>
      <c r="B48" s="10">
        <v>47</v>
      </c>
      <c r="C48" s="12" t="s">
        <v>54</v>
      </c>
      <c r="D48" s="24" t="s">
        <v>55</v>
      </c>
      <c r="E48" s="25" t="s">
        <v>236</v>
      </c>
    </row>
    <row r="49" spans="1:9" x14ac:dyDescent="0.25">
      <c r="A49" s="8" t="s">
        <v>218</v>
      </c>
      <c r="B49" s="10">
        <v>48</v>
      </c>
      <c r="C49" s="12" t="s">
        <v>52</v>
      </c>
      <c r="D49" s="24" t="s">
        <v>53</v>
      </c>
      <c r="E49" s="25" t="s">
        <v>235</v>
      </c>
    </row>
    <row r="50" spans="1:9" x14ac:dyDescent="0.25">
      <c r="A50" s="8" t="s">
        <v>218</v>
      </c>
      <c r="B50" s="10">
        <v>49</v>
      </c>
      <c r="C50" s="12" t="s">
        <v>126</v>
      </c>
      <c r="D50" t="s">
        <v>196</v>
      </c>
      <c r="E50" s="25" t="s">
        <v>271</v>
      </c>
    </row>
    <row r="51" spans="1:9" x14ac:dyDescent="0.25">
      <c r="A51" s="8" t="s">
        <v>218</v>
      </c>
      <c r="B51" s="10">
        <v>50</v>
      </c>
      <c r="C51" s="12"/>
      <c r="D51" s="23" t="s">
        <v>254</v>
      </c>
    </row>
    <row r="52" spans="1:9" x14ac:dyDescent="0.25">
      <c r="A52"/>
      <c r="B52"/>
      <c r="C52"/>
      <c r="F52" s="18" t="s">
        <v>281</v>
      </c>
      <c r="H52" s="3"/>
      <c r="I52" s="3"/>
    </row>
    <row r="53" spans="1:9" x14ac:dyDescent="0.25">
      <c r="A53" s="2" t="s">
        <v>215</v>
      </c>
      <c r="B53" s="11">
        <v>1</v>
      </c>
      <c r="C53" s="13"/>
      <c r="D53" s="23" t="s">
        <v>254</v>
      </c>
      <c r="F53" s="36">
        <v>1</v>
      </c>
      <c r="G53" s="9" t="s">
        <v>282</v>
      </c>
    </row>
    <row r="54" spans="1:9" x14ac:dyDescent="0.25">
      <c r="A54" s="2" t="s">
        <v>215</v>
      </c>
      <c r="B54" s="11">
        <v>2</v>
      </c>
      <c r="C54" s="13"/>
      <c r="D54" s="23" t="s">
        <v>255</v>
      </c>
      <c r="F54" s="36">
        <v>2</v>
      </c>
      <c r="G54" s="9" t="s">
        <v>283</v>
      </c>
    </row>
    <row r="55" spans="1:9" x14ac:dyDescent="0.25">
      <c r="A55" s="2" t="s">
        <v>215</v>
      </c>
      <c r="B55" s="11">
        <v>3</v>
      </c>
      <c r="C55" s="13"/>
      <c r="D55" s="23" t="s">
        <v>254</v>
      </c>
      <c r="G55" s="9"/>
    </row>
    <row r="56" spans="1:9" x14ac:dyDescent="0.25">
      <c r="A56" s="2" t="s">
        <v>215</v>
      </c>
      <c r="B56" s="11">
        <v>4</v>
      </c>
      <c r="C56" s="13"/>
      <c r="D56" s="23" t="s">
        <v>256</v>
      </c>
      <c r="G56" t="s">
        <v>259</v>
      </c>
    </row>
    <row r="57" spans="1:9" x14ac:dyDescent="0.25">
      <c r="A57" s="2" t="s">
        <v>215</v>
      </c>
      <c r="B57" s="11">
        <v>5</v>
      </c>
      <c r="C57" s="13" t="s">
        <v>327</v>
      </c>
      <c r="D57" s="5" t="s">
        <v>248</v>
      </c>
      <c r="G57" t="str">
        <f t="shared" ref="G57:G102" si="1" xml:space="preserve"> CONCATENATE("NET """,$A57,"_",B57,""" LOC = ",$C57," | IOSTANDARD = LVCMOS33;   # ",D57)</f>
        <v>NET "SV2_5" LOC = P51 | IOSTANDARD = LVCMOS33;   # IO_L31P_GCLK31_D14_2</v>
      </c>
    </row>
    <row r="58" spans="1:9" x14ac:dyDescent="0.25">
      <c r="A58" s="2" t="s">
        <v>215</v>
      </c>
      <c r="B58" s="11">
        <v>6</v>
      </c>
      <c r="C58" s="13" t="s">
        <v>121</v>
      </c>
      <c r="D58" s="5" t="s">
        <v>247</v>
      </c>
      <c r="G58" t="str">
        <f t="shared" si="1"/>
        <v>NET "SV2_6" LOC = P50 | IOSTANDARD = LVCMOS33;   # IO_L31N_GCLK30_D15_2</v>
      </c>
    </row>
    <row r="59" spans="1:9" x14ac:dyDescent="0.25">
      <c r="A59" s="2" t="s">
        <v>215</v>
      </c>
      <c r="B59" s="11">
        <v>7</v>
      </c>
      <c r="C59" s="13" t="s">
        <v>122</v>
      </c>
      <c r="D59" t="s">
        <v>245</v>
      </c>
      <c r="G59" t="str">
        <f t="shared" si="1"/>
        <v>NET "SV2_7" LOC = P41 | IOSTANDARD = LVCMOS33;   # IO_L64P_2</v>
      </c>
    </row>
    <row r="60" spans="1:9" x14ac:dyDescent="0.25">
      <c r="A60" s="2" t="s">
        <v>215</v>
      </c>
      <c r="B60" s="11">
        <v>8</v>
      </c>
      <c r="C60" s="13" t="s">
        <v>124</v>
      </c>
      <c r="D60" t="s">
        <v>246</v>
      </c>
      <c r="G60" t="str">
        <f t="shared" si="1"/>
        <v>NET "SV2_8" LOC = P40 | IOSTANDARD = LVCMOS33;   # IO_L64N_2</v>
      </c>
    </row>
    <row r="61" spans="1:9" x14ac:dyDescent="0.25">
      <c r="A61" s="2" t="s">
        <v>215</v>
      </c>
      <c r="B61" s="11">
        <v>9</v>
      </c>
      <c r="C61" s="13" t="s">
        <v>127</v>
      </c>
      <c r="D61" t="s">
        <v>128</v>
      </c>
      <c r="G61" t="str">
        <f t="shared" si="1"/>
        <v xml:space="preserve">NET "SV2_9" LOC = P35 | IOSTANDARD = LVCMOS33;   # IO_L1P_3 </v>
      </c>
    </row>
    <row r="62" spans="1:9" x14ac:dyDescent="0.25">
      <c r="A62" s="2" t="s">
        <v>215</v>
      </c>
      <c r="B62" s="11">
        <v>10</v>
      </c>
      <c r="C62" s="13" t="s">
        <v>129</v>
      </c>
      <c r="D62" t="s">
        <v>130</v>
      </c>
      <c r="G62" t="str">
        <f t="shared" si="1"/>
        <v xml:space="preserve">NET "SV2_10" LOC = P34 | IOSTANDARD = LVCMOS33;   # IO_L1N_VREF_3 </v>
      </c>
    </row>
    <row r="63" spans="1:9" x14ac:dyDescent="0.25">
      <c r="A63" s="2" t="s">
        <v>215</v>
      </c>
      <c r="B63" s="11">
        <v>11</v>
      </c>
      <c r="C63" s="13" t="s">
        <v>131</v>
      </c>
      <c r="D63" t="s">
        <v>132</v>
      </c>
      <c r="F63" s="37">
        <v>3</v>
      </c>
      <c r="G63" t="str">
        <f xml:space="preserve"> CONCATENATE("NET """,$A63,"_",B63,""" LOC = ",$C63," | IOSTANDARD = LVCMOS33;   # ",D63," ### PL3 Pin ",F63)</f>
        <v>NET "SV2_11" LOC = P33 | IOSTANDARD = LVCMOS33;   # IO_L2P_3  ### PL3 Pin 3</v>
      </c>
    </row>
    <row r="64" spans="1:9" x14ac:dyDescent="0.25">
      <c r="A64" s="2" t="s">
        <v>215</v>
      </c>
      <c r="B64" s="11">
        <v>12</v>
      </c>
      <c r="C64" s="13" t="s">
        <v>133</v>
      </c>
      <c r="D64" t="s">
        <v>134</v>
      </c>
      <c r="F64" s="37">
        <v>4</v>
      </c>
      <c r="G64" t="str">
        <f t="shared" ref="G64:G100" si="2" xml:space="preserve"> CONCATENATE("NET """,$A64,"_",B64,""" LOC = ",$C64," | IOSTANDARD = LVCMOS33;   # ",D64," ### PL3 Pin ",F64)</f>
        <v>NET "SV2_12" LOC = P32 | IOSTANDARD = LVCMOS33;   # IO_L2N_3  ### PL3 Pin 4</v>
      </c>
    </row>
    <row r="65" spans="1:9" x14ac:dyDescent="0.25">
      <c r="A65" s="2" t="s">
        <v>215</v>
      </c>
      <c r="B65" s="11">
        <v>13</v>
      </c>
      <c r="C65" s="13" t="s">
        <v>135</v>
      </c>
      <c r="D65" t="s">
        <v>136</v>
      </c>
      <c r="F65" s="37">
        <v>5</v>
      </c>
      <c r="G65" t="str">
        <f t="shared" si="2"/>
        <v>NET "SV2_13" LOC = P30 | IOSTANDARD = LVCMOS33;   # IO_L36P_3  ### PL3 Pin 5</v>
      </c>
    </row>
    <row r="66" spans="1:9" x14ac:dyDescent="0.25">
      <c r="A66" s="2" t="s">
        <v>215</v>
      </c>
      <c r="B66" s="11">
        <v>14</v>
      </c>
      <c r="C66" s="13" t="s">
        <v>137</v>
      </c>
      <c r="D66" t="s">
        <v>138</v>
      </c>
      <c r="F66" s="37">
        <v>6</v>
      </c>
      <c r="G66" t="str">
        <f t="shared" si="2"/>
        <v>NET "SV2_14" LOC = P29 | IOSTANDARD = LVCMOS33;   # IO_L36N_3  ### PL3 Pin 6</v>
      </c>
    </row>
    <row r="67" spans="1:9" x14ac:dyDescent="0.25">
      <c r="A67" s="2" t="s">
        <v>215</v>
      </c>
      <c r="B67" s="11">
        <v>15</v>
      </c>
      <c r="C67" s="13" t="s">
        <v>139</v>
      </c>
      <c r="D67" t="s">
        <v>140</v>
      </c>
      <c r="F67" s="37">
        <v>7</v>
      </c>
      <c r="G67" t="str">
        <f t="shared" si="2"/>
        <v>NET "SV2_15" LOC = P27 | IOSTANDARD = LVCMOS33;   # IO_L37P_3  ### PL3 Pin 7</v>
      </c>
    </row>
    <row r="68" spans="1:9" x14ac:dyDescent="0.25">
      <c r="A68" s="2" t="s">
        <v>215</v>
      </c>
      <c r="B68" s="11">
        <v>16</v>
      </c>
      <c r="C68" s="13" t="s">
        <v>141</v>
      </c>
      <c r="D68" t="s">
        <v>142</v>
      </c>
      <c r="F68" s="37">
        <v>8</v>
      </c>
      <c r="G68" t="str">
        <f t="shared" si="2"/>
        <v>NET "SV2_16" LOC = P26 | IOSTANDARD = LVCMOS33;   # IO_L37N_3  ### PL3 Pin 8</v>
      </c>
    </row>
    <row r="69" spans="1:9" x14ac:dyDescent="0.25">
      <c r="A69" s="2" t="s">
        <v>215</v>
      </c>
      <c r="B69" s="11">
        <v>17</v>
      </c>
      <c r="C69" s="13" t="s">
        <v>143</v>
      </c>
      <c r="D69" s="5" t="s">
        <v>144</v>
      </c>
      <c r="F69" s="37">
        <v>9</v>
      </c>
      <c r="G69" t="str">
        <f t="shared" si="2"/>
        <v>NET "SV2_17" LOC = P24 | IOSTANDARD = LVCMOS33;   # IO_L41P_GCLK27_3  ### PL3 Pin 9</v>
      </c>
    </row>
    <row r="70" spans="1:9" x14ac:dyDescent="0.25">
      <c r="A70" s="2" t="s">
        <v>215</v>
      </c>
      <c r="B70" s="11">
        <v>18</v>
      </c>
      <c r="C70" s="13" t="s">
        <v>145</v>
      </c>
      <c r="D70" s="5" t="s">
        <v>146</v>
      </c>
      <c r="F70" s="37">
        <v>10</v>
      </c>
      <c r="G70" t="str">
        <f t="shared" si="2"/>
        <v>NET "SV2_18" LOC = P23 | IOSTANDARD = LVCMOS33;   # IO_L41N_GCLK26_3  ### PL3 Pin 10</v>
      </c>
    </row>
    <row r="71" spans="1:9" x14ac:dyDescent="0.25">
      <c r="A71" s="2" t="s">
        <v>215</v>
      </c>
      <c r="B71" s="11">
        <v>19</v>
      </c>
      <c r="C71" s="13" t="s">
        <v>147</v>
      </c>
      <c r="D71" s="5" t="s">
        <v>148</v>
      </c>
      <c r="F71" s="37">
        <v>11</v>
      </c>
      <c r="G71" t="str">
        <f t="shared" si="2"/>
        <v>NET "SV2_19" LOC = P22 | IOSTANDARD = LVCMOS33;   # IO_L42P_GCLK25_TRDY2_3  ### PL3 Pin 11</v>
      </c>
    </row>
    <row r="72" spans="1:9" x14ac:dyDescent="0.25">
      <c r="A72" s="2" t="s">
        <v>215</v>
      </c>
      <c r="B72" s="11">
        <v>20</v>
      </c>
      <c r="C72" s="13" t="s">
        <v>149</v>
      </c>
      <c r="D72" s="5" t="s">
        <v>150</v>
      </c>
      <c r="F72" s="37">
        <v>12</v>
      </c>
      <c r="G72" t="str">
        <f t="shared" si="2"/>
        <v>NET "SV2_20" LOC = P21 | IOSTANDARD = LVCMOS33;   # IO_L42N_GCLK24_3  ### PL3 Pin 12</v>
      </c>
    </row>
    <row r="73" spans="1:9" x14ac:dyDescent="0.25">
      <c r="A73" s="2" t="s">
        <v>215</v>
      </c>
      <c r="B73" s="11">
        <v>21</v>
      </c>
      <c r="C73" s="13" t="s">
        <v>151</v>
      </c>
      <c r="D73" s="5" t="s">
        <v>152</v>
      </c>
      <c r="F73" s="37">
        <v>13</v>
      </c>
      <c r="G73" t="str">
        <f t="shared" si="2"/>
        <v>NET "SV2_21" LOC = P17 | IOSTANDARD = LVCMOS33;   # IO_L43P_GCLK23_3  ### PL3 Pin 13</v>
      </c>
    </row>
    <row r="74" spans="1:9" x14ac:dyDescent="0.25">
      <c r="A74" s="2" t="s">
        <v>215</v>
      </c>
      <c r="B74" s="11">
        <v>22</v>
      </c>
      <c r="C74" s="13" t="s">
        <v>153</v>
      </c>
      <c r="D74" s="5" t="s">
        <v>154</v>
      </c>
      <c r="F74" s="37">
        <v>14</v>
      </c>
      <c r="G74" t="str">
        <f t="shared" si="2"/>
        <v>NET "SV2_22" LOC = P16 | IOSTANDARD = LVCMOS33;   # IO_L43N_GCLK22_IRDY2_3  ### PL3 Pin 14</v>
      </c>
    </row>
    <row r="75" spans="1:9" x14ac:dyDescent="0.25">
      <c r="A75" s="2" t="s">
        <v>215</v>
      </c>
      <c r="B75" s="11">
        <v>23</v>
      </c>
      <c r="C75" s="13" t="s">
        <v>155</v>
      </c>
      <c r="D75" s="5" t="s">
        <v>156</v>
      </c>
      <c r="F75" s="37">
        <v>15</v>
      </c>
      <c r="G75" t="str">
        <f t="shared" si="2"/>
        <v>NET "SV2_23" LOC = P15 | IOSTANDARD = LVCMOS33;   # IO_L44P_GCLK21_3  ### PL3 Pin 15</v>
      </c>
    </row>
    <row r="76" spans="1:9" x14ac:dyDescent="0.25">
      <c r="A76" s="2" t="s">
        <v>215</v>
      </c>
      <c r="B76" s="11">
        <v>24</v>
      </c>
      <c r="C76" s="13" t="s">
        <v>157</v>
      </c>
      <c r="D76" s="5" t="s">
        <v>158</v>
      </c>
      <c r="F76" s="37">
        <v>16</v>
      </c>
      <c r="G76" t="str">
        <f t="shared" si="2"/>
        <v>NET "SV2_24" LOC = P14 | IOSTANDARD = LVCMOS33;   # IO_L44N_GCLK20_3  ### PL3 Pin 16</v>
      </c>
      <c r="H76" s="5"/>
      <c r="I76" s="5"/>
    </row>
    <row r="77" spans="1:9" x14ac:dyDescent="0.25">
      <c r="A77" s="2" t="s">
        <v>215</v>
      </c>
      <c r="B77" s="11">
        <v>25</v>
      </c>
      <c r="C77" s="13" t="s">
        <v>159</v>
      </c>
      <c r="D77" t="s">
        <v>160</v>
      </c>
      <c r="F77" s="37">
        <v>17</v>
      </c>
      <c r="G77" t="str">
        <f t="shared" si="2"/>
        <v>NET "SV2_25" LOC = P12 | IOSTANDARD = LVCMOS33;   # IO_L49P_3  ### PL3 Pin 17</v>
      </c>
    </row>
    <row r="78" spans="1:9" x14ac:dyDescent="0.25">
      <c r="A78" s="2" t="s">
        <v>215</v>
      </c>
      <c r="B78" s="11">
        <v>26</v>
      </c>
      <c r="C78" s="13" t="s">
        <v>161</v>
      </c>
      <c r="D78" t="s">
        <v>162</v>
      </c>
      <c r="F78" s="37">
        <v>18</v>
      </c>
      <c r="G78" t="str">
        <f t="shared" si="2"/>
        <v>NET "SV2_26" LOC = P11 | IOSTANDARD = LVCMOS33;   # IO_L49N_3  ### PL3 Pin 18</v>
      </c>
    </row>
    <row r="79" spans="1:9" x14ac:dyDescent="0.25">
      <c r="A79" s="2" t="s">
        <v>215</v>
      </c>
      <c r="B79" s="11">
        <v>27</v>
      </c>
      <c r="C79" s="13" t="s">
        <v>163</v>
      </c>
      <c r="D79" t="s">
        <v>164</v>
      </c>
      <c r="F79" s="37">
        <v>19</v>
      </c>
      <c r="G79" t="str">
        <f t="shared" si="2"/>
        <v>NET "SV2_27" LOC = P10 | IOSTANDARD = LVCMOS33;   # IO_L50P_3  ### PL3 Pin 19</v>
      </c>
    </row>
    <row r="80" spans="1:9" x14ac:dyDescent="0.25">
      <c r="A80" s="2" t="s">
        <v>215</v>
      </c>
      <c r="B80" s="11">
        <v>28</v>
      </c>
      <c r="C80" s="13" t="s">
        <v>165</v>
      </c>
      <c r="D80" t="s">
        <v>166</v>
      </c>
      <c r="F80" s="37">
        <v>20</v>
      </c>
      <c r="G80" t="str">
        <f t="shared" si="2"/>
        <v>NET "SV2_28" LOC = P9 | IOSTANDARD = LVCMOS33;   # IO_L50N_3  ### PL3 Pin 20</v>
      </c>
      <c r="H80" s="5"/>
      <c r="I80" s="5"/>
    </row>
    <row r="81" spans="1:7" x14ac:dyDescent="0.25">
      <c r="A81" s="2" t="s">
        <v>215</v>
      </c>
      <c r="B81" s="11">
        <v>29</v>
      </c>
      <c r="C81" s="13" t="s">
        <v>167</v>
      </c>
      <c r="D81" t="s">
        <v>168</v>
      </c>
      <c r="F81" s="37">
        <v>21</v>
      </c>
      <c r="G81" t="str">
        <f t="shared" si="2"/>
        <v>NET "SV2_29" LOC = P8 | IOSTANDARD = LVCMOS33;   # IO_L51P_3  ### PL3 Pin 21</v>
      </c>
    </row>
    <row r="82" spans="1:7" x14ac:dyDescent="0.25">
      <c r="A82" s="2" t="s">
        <v>215</v>
      </c>
      <c r="B82" s="11">
        <v>30</v>
      </c>
      <c r="C82" s="13" t="s">
        <v>169</v>
      </c>
      <c r="D82" t="s">
        <v>170</v>
      </c>
      <c r="F82" s="37">
        <v>22</v>
      </c>
      <c r="G82" t="str">
        <f t="shared" si="2"/>
        <v>NET "SV2_30" LOC = P7 | IOSTANDARD = LVCMOS33;   # IO_L51N_3  ### PL3 Pin 22</v>
      </c>
    </row>
    <row r="83" spans="1:7" x14ac:dyDescent="0.25">
      <c r="A83" s="2" t="s">
        <v>215</v>
      </c>
      <c r="B83" s="11">
        <v>31</v>
      </c>
      <c r="C83" s="13" t="s">
        <v>171</v>
      </c>
      <c r="D83" t="s">
        <v>172</v>
      </c>
      <c r="F83" s="37">
        <v>23</v>
      </c>
      <c r="G83" t="str">
        <f t="shared" si="2"/>
        <v>NET "SV2_31" LOC = P6 | IOSTANDARD = LVCMOS33;   # IO_L52P_3  ### PL3 Pin 23</v>
      </c>
    </row>
    <row r="84" spans="1:7" x14ac:dyDescent="0.25">
      <c r="A84" s="2" t="s">
        <v>215</v>
      </c>
      <c r="B84" s="11">
        <v>32</v>
      </c>
      <c r="C84" s="13" t="s">
        <v>173</v>
      </c>
      <c r="D84" t="s">
        <v>174</v>
      </c>
      <c r="F84" s="37">
        <v>24</v>
      </c>
      <c r="G84" t="str">
        <f t="shared" si="2"/>
        <v>NET "SV2_32" LOC = P5 | IOSTANDARD = LVCMOS33;   # IO_L52N_3  ### PL3 Pin 24</v>
      </c>
    </row>
    <row r="85" spans="1:7" x14ac:dyDescent="0.25">
      <c r="A85" s="2" t="s">
        <v>215</v>
      </c>
      <c r="B85" s="11">
        <v>33</v>
      </c>
      <c r="C85" s="13" t="s">
        <v>175</v>
      </c>
      <c r="D85" t="s">
        <v>176</v>
      </c>
      <c r="F85" s="37">
        <v>25</v>
      </c>
      <c r="G85" t="str">
        <f t="shared" si="2"/>
        <v>NET "SV2_33" LOC = P2 | IOSTANDARD = LVCMOS33;   # IO_L83P_3  ### PL3 Pin 25</v>
      </c>
    </row>
    <row r="86" spans="1:7" x14ac:dyDescent="0.25">
      <c r="A86" s="2" t="s">
        <v>215</v>
      </c>
      <c r="B86" s="11">
        <v>34</v>
      </c>
      <c r="C86" s="13" t="s">
        <v>177</v>
      </c>
      <c r="D86" t="s">
        <v>178</v>
      </c>
      <c r="F86" s="37">
        <v>26</v>
      </c>
      <c r="G86" t="str">
        <f t="shared" si="2"/>
        <v>NET "SV2_34" LOC = P1 | IOSTANDARD = LVCMOS33;   # IO_L83N_VREF_3  ### PL3 Pin 26</v>
      </c>
    </row>
    <row r="87" spans="1:7" x14ac:dyDescent="0.25">
      <c r="A87" s="2" t="s">
        <v>215</v>
      </c>
      <c r="B87" s="11">
        <v>35</v>
      </c>
      <c r="C87" s="13" t="s">
        <v>0</v>
      </c>
      <c r="D87" t="s">
        <v>1</v>
      </c>
      <c r="F87" s="37">
        <v>27</v>
      </c>
      <c r="G87" t="str">
        <f t="shared" si="2"/>
        <v>NET "SV2_35" LOC = P144 | IOSTANDARD = LVCMOS33;   # IO_L1P_HSWAPEN_0  ### PL3 Pin 27</v>
      </c>
    </row>
    <row r="88" spans="1:7" x14ac:dyDescent="0.25">
      <c r="A88" s="2" t="s">
        <v>215</v>
      </c>
      <c r="B88" s="11">
        <v>36</v>
      </c>
      <c r="C88" s="13" t="s">
        <v>2</v>
      </c>
      <c r="D88" t="s">
        <v>3</v>
      </c>
      <c r="F88" s="37">
        <v>28</v>
      </c>
      <c r="G88" t="str">
        <f t="shared" si="2"/>
        <v>NET "SV2_36" LOC = P143 | IOSTANDARD = LVCMOS33;   # IO_L1N_VREF_0  ### PL3 Pin 28</v>
      </c>
    </row>
    <row r="89" spans="1:7" x14ac:dyDescent="0.25">
      <c r="A89" s="2" t="s">
        <v>215</v>
      </c>
      <c r="B89" s="11">
        <v>37</v>
      </c>
      <c r="C89" s="13" t="s">
        <v>4</v>
      </c>
      <c r="D89" t="s">
        <v>5</v>
      </c>
      <c r="F89" s="37">
        <v>29</v>
      </c>
      <c r="G89" t="str">
        <f t="shared" si="2"/>
        <v>NET "SV2_37" LOC = P142 | IOSTANDARD = LVCMOS33;   # IO_L2P_0  ### PL3 Pin 29</v>
      </c>
    </row>
    <row r="90" spans="1:7" x14ac:dyDescent="0.25">
      <c r="A90" s="2" t="s">
        <v>215</v>
      </c>
      <c r="B90" s="11">
        <v>38</v>
      </c>
      <c r="C90" s="13" t="s">
        <v>6</v>
      </c>
      <c r="D90" t="s">
        <v>7</v>
      </c>
      <c r="F90" s="37">
        <v>30</v>
      </c>
      <c r="G90" t="str">
        <f t="shared" si="2"/>
        <v>NET "SV2_38" LOC = P141 | IOSTANDARD = LVCMOS33;   # IO_L2N_0  ### PL3 Pin 30</v>
      </c>
    </row>
    <row r="91" spans="1:7" x14ac:dyDescent="0.25">
      <c r="A91" s="2" t="s">
        <v>215</v>
      </c>
      <c r="B91" s="11">
        <v>39</v>
      </c>
      <c r="C91" s="13" t="s">
        <v>8</v>
      </c>
      <c r="D91" t="s">
        <v>9</v>
      </c>
      <c r="F91" s="37">
        <v>31</v>
      </c>
      <c r="G91" t="str">
        <f t="shared" si="2"/>
        <v>NET "SV2_39" LOC = P140 | IOSTANDARD = LVCMOS33;   # IO_L3P_0  ### PL3 Pin 31</v>
      </c>
    </row>
    <row r="92" spans="1:7" x14ac:dyDescent="0.25">
      <c r="A92" s="2" t="s">
        <v>215</v>
      </c>
      <c r="B92" s="11">
        <v>40</v>
      </c>
      <c r="C92" s="13" t="s">
        <v>10</v>
      </c>
      <c r="D92" t="s">
        <v>11</v>
      </c>
      <c r="F92" s="37">
        <v>32</v>
      </c>
      <c r="G92" t="str">
        <f t="shared" si="2"/>
        <v>NET "SV2_40" LOC = P139 | IOSTANDARD = LVCMOS33;   # IO_L3N_0  ### PL3 Pin 32</v>
      </c>
    </row>
    <row r="93" spans="1:7" x14ac:dyDescent="0.25">
      <c r="A93" s="2" t="s">
        <v>215</v>
      </c>
      <c r="B93" s="11">
        <v>41</v>
      </c>
      <c r="C93" s="13" t="s">
        <v>12</v>
      </c>
      <c r="D93" t="s">
        <v>13</v>
      </c>
      <c r="F93" s="37">
        <v>33</v>
      </c>
      <c r="G93" t="str">
        <f t="shared" si="2"/>
        <v>NET "SV2_41" LOC = P138 | IOSTANDARD = LVCMOS33;   # IO_L4P_0  ### PL3 Pin 33</v>
      </c>
    </row>
    <row r="94" spans="1:7" x14ac:dyDescent="0.25">
      <c r="A94" s="2" t="s">
        <v>215</v>
      </c>
      <c r="B94" s="11">
        <v>42</v>
      </c>
      <c r="C94" s="13" t="s">
        <v>14</v>
      </c>
      <c r="D94" t="s">
        <v>15</v>
      </c>
      <c r="F94" s="37">
        <v>34</v>
      </c>
      <c r="G94" t="str">
        <f t="shared" si="2"/>
        <v>NET "SV2_42" LOC = P137 | IOSTANDARD = LVCMOS33;   # IO_L4N_0  ### PL3 Pin 34</v>
      </c>
    </row>
    <row r="95" spans="1:7" x14ac:dyDescent="0.25">
      <c r="A95" s="2" t="s">
        <v>215</v>
      </c>
      <c r="B95" s="11">
        <v>43</v>
      </c>
      <c r="C95" s="13" t="s">
        <v>16</v>
      </c>
      <c r="D95" s="6" t="s">
        <v>17</v>
      </c>
      <c r="E95" s="32" t="s">
        <v>262</v>
      </c>
      <c r="F95" s="37">
        <v>35</v>
      </c>
      <c r="G95" t="str">
        <f t="shared" si="2"/>
        <v>NET "SV2_43" LOC = P134 | IOSTANDARD = LVCMOS33;   # IO_L34P_GCLK19_0  ### PL3 Pin 35</v>
      </c>
    </row>
    <row r="96" spans="1:7" x14ac:dyDescent="0.25">
      <c r="A96" s="2" t="s">
        <v>215</v>
      </c>
      <c r="B96" s="11">
        <v>44</v>
      </c>
      <c r="C96" s="13" t="s">
        <v>18</v>
      </c>
      <c r="D96" s="6" t="s">
        <v>19</v>
      </c>
      <c r="E96" s="32" t="s">
        <v>263</v>
      </c>
      <c r="F96" s="37">
        <v>36</v>
      </c>
      <c r="G96" t="str">
        <f t="shared" si="2"/>
        <v>NET "SV2_44" LOC = P133 | IOSTANDARD = LVCMOS33;   # IO_L34N_GCLK18_0  ### PL3 Pin 36</v>
      </c>
    </row>
    <row r="97" spans="1:7" x14ac:dyDescent="0.25">
      <c r="A97" s="2" t="s">
        <v>215</v>
      </c>
      <c r="B97" s="11">
        <v>45</v>
      </c>
      <c r="C97" s="13" t="s">
        <v>20</v>
      </c>
      <c r="D97" s="6" t="s">
        <v>21</v>
      </c>
      <c r="E97" s="32" t="s">
        <v>264</v>
      </c>
      <c r="F97" s="37">
        <v>37</v>
      </c>
      <c r="G97" t="str">
        <f t="shared" si="2"/>
        <v>NET "SV2_45" LOC = P132 | IOSTANDARD = LVCMOS33;   # IO_L35P_GCLK17_0  ### PL3 Pin 37</v>
      </c>
    </row>
    <row r="98" spans="1:7" x14ac:dyDescent="0.25">
      <c r="A98" s="2" t="s">
        <v>215</v>
      </c>
      <c r="B98" s="11">
        <v>46</v>
      </c>
      <c r="C98" s="13" t="s">
        <v>22</v>
      </c>
      <c r="D98" s="6" t="s">
        <v>23</v>
      </c>
      <c r="E98" s="32" t="s">
        <v>265</v>
      </c>
      <c r="F98" s="37">
        <v>38</v>
      </c>
      <c r="G98" t="str">
        <f t="shared" si="2"/>
        <v>NET "SV2_46" LOC = P131 | IOSTANDARD = LVCMOS33;   # IO_L35N_GCLK16_0  ### PL3 Pin 38</v>
      </c>
    </row>
    <row r="99" spans="1:7" x14ac:dyDescent="0.25">
      <c r="A99" s="2" t="s">
        <v>215</v>
      </c>
      <c r="B99" s="11">
        <v>47</v>
      </c>
      <c r="C99" s="13" t="s">
        <v>24</v>
      </c>
      <c r="D99" s="6" t="s">
        <v>25</v>
      </c>
      <c r="E99" s="32" t="s">
        <v>266</v>
      </c>
      <c r="F99" s="37">
        <v>39</v>
      </c>
      <c r="G99" t="str">
        <f t="shared" si="2"/>
        <v>NET "SV2_47" LOC = P127 | IOSTANDARD = LVCMOS33;   # IO_L36P_GCLK15_0  ### PL3 Pin 39</v>
      </c>
    </row>
    <row r="100" spans="1:7" x14ac:dyDescent="0.25">
      <c r="A100" s="2" t="s">
        <v>215</v>
      </c>
      <c r="B100" s="11">
        <v>48</v>
      </c>
      <c r="C100" s="13" t="s">
        <v>26</v>
      </c>
      <c r="D100" s="6" t="s">
        <v>27</v>
      </c>
      <c r="E100" s="32" t="s">
        <v>267</v>
      </c>
      <c r="F100" s="37">
        <v>40</v>
      </c>
      <c r="G100" t="str">
        <f t="shared" si="2"/>
        <v>NET "SV2_48" LOC = P126 | IOSTANDARD = LVCMOS33;   # IO_L36N_GCLK14_0  ### PL3 Pin 40</v>
      </c>
    </row>
    <row r="101" spans="1:7" x14ac:dyDescent="0.25">
      <c r="A101" s="2" t="s">
        <v>215</v>
      </c>
      <c r="B101" s="11">
        <v>49</v>
      </c>
      <c r="C101" s="13" t="s">
        <v>28</v>
      </c>
      <c r="D101" s="6" t="s">
        <v>29</v>
      </c>
      <c r="E101" s="32" t="s">
        <v>268</v>
      </c>
      <c r="G101" t="str">
        <f t="shared" si="1"/>
        <v xml:space="preserve">NET "SV2_49" LOC = P124 | IOSTANDARD = LVCMOS33;   # IO_L37P_GCLK13_0 </v>
      </c>
    </row>
    <row r="102" spans="1:7" x14ac:dyDescent="0.25">
      <c r="A102" s="2" t="s">
        <v>215</v>
      </c>
      <c r="B102" s="11">
        <v>50</v>
      </c>
      <c r="C102" s="13" t="s">
        <v>30</v>
      </c>
      <c r="D102" s="6" t="s">
        <v>31</v>
      </c>
      <c r="E102" s="32" t="s">
        <v>269</v>
      </c>
      <c r="G102" t="str">
        <f t="shared" si="1"/>
        <v xml:space="preserve">NET "SV2_50" LOC = P123 | IOSTANDARD = LVCMOS33;   # IO_L37N_GCLK12_0 </v>
      </c>
    </row>
    <row r="110" spans="1:7" x14ac:dyDescent="0.25">
      <c r="D110" s="6"/>
    </row>
    <row r="111" spans="1:7" x14ac:dyDescent="0.25">
      <c r="D111" s="6"/>
    </row>
    <row r="112" spans="1:7" x14ac:dyDescent="0.25">
      <c r="D112" s="6"/>
    </row>
    <row r="113" spans="4:4" x14ac:dyDescent="0.25">
      <c r="D113" s="6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tabSelected="1" workbookViewId="0">
      <selection activeCell="D7" sqref="D7"/>
    </sheetView>
  </sheetViews>
  <sheetFormatPr baseColWidth="10" defaultRowHeight="15" x14ac:dyDescent="0.25"/>
  <cols>
    <col min="7" max="7" width="91.42578125" customWidth="1"/>
  </cols>
  <sheetData>
    <row r="1" spans="1:7" x14ac:dyDescent="0.25">
      <c r="B1" s="3" t="s">
        <v>285</v>
      </c>
    </row>
    <row r="2" spans="1:7" x14ac:dyDescent="0.25">
      <c r="B2" s="3" t="s">
        <v>284</v>
      </c>
      <c r="C2" s="3" t="s">
        <v>288</v>
      </c>
      <c r="D2" s="3" t="s">
        <v>287</v>
      </c>
      <c r="E2" s="3" t="s">
        <v>286</v>
      </c>
      <c r="G2" s="3" t="s">
        <v>289</v>
      </c>
    </row>
    <row r="3" spans="1:7" x14ac:dyDescent="0.25">
      <c r="A3" s="2" t="s">
        <v>215</v>
      </c>
      <c r="B3" s="8" t="s">
        <v>254</v>
      </c>
      <c r="C3" s="11">
        <v>1</v>
      </c>
      <c r="D3" s="13"/>
      <c r="E3" s="23" t="s">
        <v>254</v>
      </c>
      <c r="F3" s="1"/>
      <c r="G3" s="9" t="s">
        <v>282</v>
      </c>
    </row>
    <row r="4" spans="1:7" x14ac:dyDescent="0.25">
      <c r="A4" s="2" t="s">
        <v>215</v>
      </c>
      <c r="B4" s="8" t="s">
        <v>255</v>
      </c>
      <c r="C4" s="11">
        <v>2</v>
      </c>
      <c r="D4" s="13"/>
      <c r="E4" s="23" t="s">
        <v>255</v>
      </c>
      <c r="F4" s="1"/>
      <c r="G4" s="9" t="s">
        <v>283</v>
      </c>
    </row>
    <row r="5" spans="1:7" x14ac:dyDescent="0.25">
      <c r="A5" s="2" t="s">
        <v>215</v>
      </c>
      <c r="B5" s="8" t="s">
        <v>254</v>
      </c>
      <c r="C5" s="11">
        <v>3</v>
      </c>
      <c r="D5" s="13"/>
      <c r="E5" s="23" t="s">
        <v>254</v>
      </c>
      <c r="F5" s="1"/>
      <c r="G5" s="9"/>
    </row>
    <row r="6" spans="1:7" x14ac:dyDescent="0.25">
      <c r="A6" s="2" t="s">
        <v>215</v>
      </c>
      <c r="B6" s="8" t="s">
        <v>256</v>
      </c>
      <c r="C6" s="11">
        <v>4</v>
      </c>
      <c r="D6" s="13"/>
      <c r="E6" s="23" t="s">
        <v>256</v>
      </c>
      <c r="F6" s="1"/>
      <c r="G6" t="s">
        <v>259</v>
      </c>
    </row>
    <row r="7" spans="1:7" x14ac:dyDescent="0.25">
      <c r="A7" s="2" t="s">
        <v>215</v>
      </c>
      <c r="B7" s="8" t="s">
        <v>290</v>
      </c>
      <c r="C7" s="11">
        <v>5</v>
      </c>
      <c r="D7" s="13" t="s">
        <v>327</v>
      </c>
      <c r="E7" s="5" t="s">
        <v>248</v>
      </c>
      <c r="F7" s="1"/>
      <c r="G7" t="str">
        <f xml:space="preserve"> CONCATENATE("NET """,$B7,""" LOC = ",$D7," | IOSTANDARD = LVCMOS33;   # ",E7," ### SV2 Pin ",C7," ###")</f>
        <v>NET "HSYNC" LOC = P51 | IOSTANDARD = LVCMOS33;   # IO_L31P_GCLK31_D14_2 ### SV2 Pin 5 ###</v>
      </c>
    </row>
    <row r="8" spans="1:7" x14ac:dyDescent="0.25">
      <c r="A8" s="2" t="s">
        <v>215</v>
      </c>
      <c r="B8" s="8" t="s">
        <v>291</v>
      </c>
      <c r="C8" s="11">
        <v>6</v>
      </c>
      <c r="D8" s="13" t="s">
        <v>121</v>
      </c>
      <c r="E8" s="5" t="s">
        <v>247</v>
      </c>
      <c r="F8" s="1"/>
      <c r="G8" t="str">
        <f t="shared" ref="G8:G52" si="0" xml:space="preserve"> CONCATENATE("NET """,$B8,""" LOC = ",$D8," | IOSTANDARD = LVCMOS33;   # ",E8," ### SV2 Pin ",C8," ###")</f>
        <v>NET "VSYNC" LOC = P50 | IOSTANDARD = LVCMOS33;   # IO_L31N_GCLK30_D15_2 ### SV2 Pin 6 ###</v>
      </c>
    </row>
    <row r="9" spans="1:7" x14ac:dyDescent="0.25">
      <c r="A9" s="2" t="s">
        <v>215</v>
      </c>
      <c r="B9" s="8" t="s">
        <v>292</v>
      </c>
      <c r="C9" s="11">
        <v>7</v>
      </c>
      <c r="D9" s="13" t="s">
        <v>122</v>
      </c>
      <c r="E9" t="s">
        <v>245</v>
      </c>
      <c r="F9" s="1"/>
      <c r="G9" t="str">
        <f t="shared" si="0"/>
        <v>NET "BLUE(2)" LOC = P41 | IOSTANDARD = LVCMOS33;   # IO_L64P_2 ### SV2 Pin 7 ###</v>
      </c>
    </row>
    <row r="10" spans="1:7" x14ac:dyDescent="0.25">
      <c r="A10" s="2" t="s">
        <v>215</v>
      </c>
      <c r="B10" s="8" t="s">
        <v>293</v>
      </c>
      <c r="C10" s="11">
        <v>8</v>
      </c>
      <c r="D10" s="13" t="s">
        <v>124</v>
      </c>
      <c r="E10" t="s">
        <v>246</v>
      </c>
      <c r="F10" s="1"/>
      <c r="G10" t="str">
        <f t="shared" si="0"/>
        <v>NET "BLUE(1)" LOC = P40 | IOSTANDARD = LVCMOS33;   # IO_L64N_2 ### SV2 Pin 8 ###</v>
      </c>
    </row>
    <row r="11" spans="1:7" x14ac:dyDescent="0.25">
      <c r="A11" s="2" t="s">
        <v>215</v>
      </c>
      <c r="B11" s="8" t="s">
        <v>294</v>
      </c>
      <c r="C11" s="11">
        <v>9</v>
      </c>
      <c r="D11" s="13" t="s">
        <v>127</v>
      </c>
      <c r="E11" t="s">
        <v>128</v>
      </c>
      <c r="F11" s="1"/>
      <c r="G11" t="str">
        <f t="shared" si="0"/>
        <v>NET "BLUE(0)" LOC = P35 | IOSTANDARD = LVCMOS33;   # IO_L1P_3  ### SV2 Pin 9 ###</v>
      </c>
    </row>
    <row r="12" spans="1:7" x14ac:dyDescent="0.25">
      <c r="A12" s="2" t="s">
        <v>215</v>
      </c>
      <c r="B12" s="8" t="s">
        <v>319</v>
      </c>
      <c r="C12" s="11">
        <v>10</v>
      </c>
      <c r="D12" s="13" t="s">
        <v>129</v>
      </c>
      <c r="E12" t="s">
        <v>130</v>
      </c>
      <c r="F12" s="1"/>
      <c r="G12" t="str">
        <f t="shared" si="0"/>
        <v>NET "GREEN(2)" LOC = P34 | IOSTANDARD = LVCMOS33;   # IO_L1N_VREF_3  ### SV2 Pin 10 ###</v>
      </c>
    </row>
    <row r="13" spans="1:7" x14ac:dyDescent="0.25">
      <c r="A13" s="2" t="s">
        <v>215</v>
      </c>
      <c r="B13" s="8" t="s">
        <v>320</v>
      </c>
      <c r="C13" s="11">
        <v>11</v>
      </c>
      <c r="D13" s="13" t="s">
        <v>131</v>
      </c>
      <c r="E13" t="s">
        <v>132</v>
      </c>
      <c r="F13" s="1"/>
      <c r="G13" t="str">
        <f t="shared" si="0"/>
        <v>NET "GREEN(1)" LOC = P33 | IOSTANDARD = LVCMOS33;   # IO_L2P_3  ### SV2 Pin 11 ###</v>
      </c>
    </row>
    <row r="14" spans="1:7" x14ac:dyDescent="0.25">
      <c r="A14" s="2" t="s">
        <v>215</v>
      </c>
      <c r="B14" s="8" t="s">
        <v>321</v>
      </c>
      <c r="C14" s="11">
        <v>12</v>
      </c>
      <c r="D14" s="13" t="s">
        <v>133</v>
      </c>
      <c r="E14" t="s">
        <v>134</v>
      </c>
      <c r="F14" s="1"/>
      <c r="G14" t="str">
        <f t="shared" si="0"/>
        <v>NET "GREEN(0)" LOC = P32 | IOSTANDARD = LVCMOS33;   # IO_L2N_3  ### SV2 Pin 12 ###</v>
      </c>
    </row>
    <row r="15" spans="1:7" x14ac:dyDescent="0.25">
      <c r="A15" s="2" t="s">
        <v>215</v>
      </c>
      <c r="B15" s="8" t="s">
        <v>322</v>
      </c>
      <c r="C15" s="11">
        <v>13</v>
      </c>
      <c r="D15" s="13" t="s">
        <v>135</v>
      </c>
      <c r="E15" t="s">
        <v>136</v>
      </c>
      <c r="F15" s="1"/>
      <c r="G15" t="str">
        <f t="shared" si="0"/>
        <v>NET "RED(2)" LOC = P30 | IOSTANDARD = LVCMOS33;   # IO_L36P_3  ### SV2 Pin 13 ###</v>
      </c>
    </row>
    <row r="16" spans="1:7" x14ac:dyDescent="0.25">
      <c r="A16" s="2" t="s">
        <v>215</v>
      </c>
      <c r="B16" s="8" t="s">
        <v>323</v>
      </c>
      <c r="C16" s="11">
        <v>14</v>
      </c>
      <c r="D16" s="13" t="s">
        <v>137</v>
      </c>
      <c r="E16" t="s">
        <v>138</v>
      </c>
      <c r="F16" s="1"/>
      <c r="G16" t="str">
        <f t="shared" si="0"/>
        <v>NET "RED(1)" LOC = P29 | IOSTANDARD = LVCMOS33;   # IO_L36N_3  ### SV2 Pin 14 ###</v>
      </c>
    </row>
    <row r="17" spans="1:7" x14ac:dyDescent="0.25">
      <c r="A17" s="2" t="s">
        <v>215</v>
      </c>
      <c r="B17" s="8" t="s">
        <v>324</v>
      </c>
      <c r="C17" s="11">
        <v>15</v>
      </c>
      <c r="D17" s="13" t="s">
        <v>139</v>
      </c>
      <c r="E17" t="s">
        <v>140</v>
      </c>
      <c r="F17" s="1"/>
      <c r="G17" t="str">
        <f t="shared" si="0"/>
        <v>NET "RED(0)" LOC = P27 | IOSTANDARD = LVCMOS33;   # IO_L37P_3  ### SV2 Pin 15 ###</v>
      </c>
    </row>
    <row r="18" spans="1:7" x14ac:dyDescent="0.25">
      <c r="A18" s="2" t="s">
        <v>215</v>
      </c>
      <c r="B18" s="8" t="s">
        <v>295</v>
      </c>
      <c r="C18" s="11">
        <v>16</v>
      </c>
      <c r="D18" s="13" t="s">
        <v>141</v>
      </c>
      <c r="E18" t="s">
        <v>142</v>
      </c>
      <c r="F18" s="1"/>
      <c r="G18" t="str">
        <f t="shared" si="0"/>
        <v>NET "VIDEO(0)" LOC = P26 | IOSTANDARD = LVCMOS33;   # IO_L37N_3  ### SV2 Pin 16 ###</v>
      </c>
    </row>
    <row r="19" spans="1:7" x14ac:dyDescent="0.25">
      <c r="A19" s="2" t="s">
        <v>215</v>
      </c>
      <c r="B19" s="8" t="s">
        <v>296</v>
      </c>
      <c r="C19" s="11">
        <v>17</v>
      </c>
      <c r="D19" s="13" t="s">
        <v>143</v>
      </c>
      <c r="E19" s="5" t="s">
        <v>144</v>
      </c>
      <c r="F19" s="1"/>
      <c r="G19" t="str">
        <f t="shared" si="0"/>
        <v>NET "VIDEO(1)" LOC = P24 | IOSTANDARD = LVCMOS33;   # IO_L41P_GCLK27_3  ### SV2 Pin 17 ###</v>
      </c>
    </row>
    <row r="20" spans="1:7" x14ac:dyDescent="0.25">
      <c r="A20" s="2" t="s">
        <v>215</v>
      </c>
      <c r="B20" s="8" t="s">
        <v>297</v>
      </c>
      <c r="C20" s="11">
        <v>18</v>
      </c>
      <c r="D20" s="13" t="s">
        <v>145</v>
      </c>
      <c r="E20" s="5" t="s">
        <v>146</v>
      </c>
      <c r="F20" s="1"/>
      <c r="G20" t="str">
        <f t="shared" si="0"/>
        <v>NET "VIDEO(2)" LOC = P23 | IOSTANDARD = LVCMOS33;   # IO_L41N_GCLK26_3  ### SV2 Pin 18 ###</v>
      </c>
    </row>
    <row r="21" spans="1:7" x14ac:dyDescent="0.25">
      <c r="A21" s="2" t="s">
        <v>215</v>
      </c>
      <c r="B21" s="8" t="s">
        <v>298</v>
      </c>
      <c r="C21" s="11">
        <v>19</v>
      </c>
      <c r="D21" s="13" t="s">
        <v>147</v>
      </c>
      <c r="E21" s="5" t="s">
        <v>148</v>
      </c>
      <c r="F21" s="1"/>
      <c r="G21" t="str">
        <f t="shared" si="0"/>
        <v>NET "VIDEO(3)" LOC = P22 | IOSTANDARD = LVCMOS33;   # IO_L42P_GCLK25_TRDY2_3  ### SV2 Pin 19 ###</v>
      </c>
    </row>
    <row r="22" spans="1:7" x14ac:dyDescent="0.25">
      <c r="A22" s="2" t="s">
        <v>215</v>
      </c>
      <c r="B22" s="8" t="s">
        <v>299</v>
      </c>
      <c r="C22" s="11">
        <v>20</v>
      </c>
      <c r="D22" s="13" t="s">
        <v>149</v>
      </c>
      <c r="E22" s="5" t="s">
        <v>150</v>
      </c>
      <c r="F22" s="1"/>
      <c r="G22" t="str">
        <f t="shared" si="0"/>
        <v>NET "VIDEO(4)" LOC = P21 | IOSTANDARD = LVCMOS33;   # IO_L42N_GCLK24_3  ### SV2 Pin 20 ###</v>
      </c>
    </row>
    <row r="23" spans="1:7" x14ac:dyDescent="0.25">
      <c r="A23" s="2" t="s">
        <v>215</v>
      </c>
      <c r="B23" s="8" t="s">
        <v>300</v>
      </c>
      <c r="C23" s="11">
        <v>21</v>
      </c>
      <c r="D23" s="13" t="s">
        <v>151</v>
      </c>
      <c r="E23" s="5" t="s">
        <v>152</v>
      </c>
      <c r="F23" s="1"/>
      <c r="G23" t="str">
        <f t="shared" si="0"/>
        <v>NET "VIDEO(5)" LOC = P17 | IOSTANDARD = LVCMOS33;   # IO_L43P_GCLK23_3  ### SV2 Pin 21 ###</v>
      </c>
    </row>
    <row r="24" spans="1:7" x14ac:dyDescent="0.25">
      <c r="A24" s="2" t="s">
        <v>215</v>
      </c>
      <c r="B24" s="8" t="s">
        <v>301</v>
      </c>
      <c r="C24" s="11">
        <v>22</v>
      </c>
      <c r="D24" s="13" t="s">
        <v>153</v>
      </c>
      <c r="E24" s="5" t="s">
        <v>154</v>
      </c>
      <c r="F24" s="1"/>
      <c r="G24" t="str">
        <f t="shared" si="0"/>
        <v>NET "VIDEO(6)" LOC = P16 | IOSTANDARD = LVCMOS33;   # IO_L43N_GCLK22_IRDY2_3  ### SV2 Pin 22 ###</v>
      </c>
    </row>
    <row r="25" spans="1:7" x14ac:dyDescent="0.25">
      <c r="A25" s="2" t="s">
        <v>215</v>
      </c>
      <c r="B25" s="8" t="s">
        <v>302</v>
      </c>
      <c r="C25" s="11">
        <v>23</v>
      </c>
      <c r="D25" s="13" t="s">
        <v>155</v>
      </c>
      <c r="E25" s="5" t="s">
        <v>156</v>
      </c>
      <c r="F25" s="1"/>
      <c r="G25" t="str">
        <f t="shared" si="0"/>
        <v>NET "VIDEO(7)" LOC = P15 | IOSTANDARD = LVCMOS33;   # IO_L44P_GCLK21_3  ### SV2 Pin 23 ###</v>
      </c>
    </row>
    <row r="26" spans="1:7" x14ac:dyDescent="0.25">
      <c r="A26" s="2" t="s">
        <v>215</v>
      </c>
      <c r="B26" s="8" t="s">
        <v>318</v>
      </c>
      <c r="C26" s="11">
        <v>24</v>
      </c>
      <c r="D26" s="13" t="s">
        <v>157</v>
      </c>
      <c r="E26" s="5" t="s">
        <v>158</v>
      </c>
      <c r="F26" s="1"/>
      <c r="G26" t="str">
        <f t="shared" si="0"/>
        <v>NET "CARRIER" LOC = P14 | IOSTANDARD = LVCMOS33;   # IO_L44N_GCLK20_3  ### SV2 Pin 24 ###</v>
      </c>
    </row>
    <row r="27" spans="1:7" x14ac:dyDescent="0.25">
      <c r="A27" s="2" t="s">
        <v>215</v>
      </c>
      <c r="B27" s="8" t="str">
        <f t="shared" ref="B4:B52" si="1">CONCATENATE(A27,"_",C27)</f>
        <v>SV2_25</v>
      </c>
      <c r="C27" s="11">
        <v>25</v>
      </c>
      <c r="D27" s="13" t="s">
        <v>159</v>
      </c>
      <c r="E27" t="s">
        <v>160</v>
      </c>
      <c r="F27" s="1"/>
      <c r="G27" t="str">
        <f t="shared" si="0"/>
        <v>NET "SV2_25" LOC = P12 | IOSTANDARD = LVCMOS33;   # IO_L49P_3  ### SV2 Pin 25 ###</v>
      </c>
    </row>
    <row r="28" spans="1:7" x14ac:dyDescent="0.25">
      <c r="A28" s="2" t="s">
        <v>215</v>
      </c>
      <c r="B28" s="8" t="str">
        <f t="shared" si="1"/>
        <v>SV2_26</v>
      </c>
      <c r="C28" s="11">
        <v>26</v>
      </c>
      <c r="D28" s="13" t="s">
        <v>161</v>
      </c>
      <c r="E28" t="s">
        <v>162</v>
      </c>
      <c r="F28" s="1"/>
      <c r="G28" t="str">
        <f t="shared" si="0"/>
        <v>NET "SV2_26" LOC = P11 | IOSTANDARD = LVCMOS33;   # IO_L49N_3  ### SV2 Pin 26 ###</v>
      </c>
    </row>
    <row r="29" spans="1:7" x14ac:dyDescent="0.25">
      <c r="A29" s="2" t="s">
        <v>215</v>
      </c>
      <c r="B29" s="8" t="str">
        <f t="shared" si="1"/>
        <v>SV2_27</v>
      </c>
      <c r="C29" s="11">
        <v>27</v>
      </c>
      <c r="D29" s="13" t="s">
        <v>163</v>
      </c>
      <c r="E29" t="s">
        <v>164</v>
      </c>
      <c r="F29" s="1"/>
      <c r="G29" t="str">
        <f t="shared" si="0"/>
        <v>NET "SV2_27" LOC = P10 | IOSTANDARD = LVCMOS33;   # IO_L50P_3  ### SV2 Pin 27 ###</v>
      </c>
    </row>
    <row r="30" spans="1:7" x14ac:dyDescent="0.25">
      <c r="A30" s="2" t="s">
        <v>215</v>
      </c>
      <c r="B30" s="8" t="str">
        <f t="shared" si="1"/>
        <v>SV2_28</v>
      </c>
      <c r="C30" s="11">
        <v>28</v>
      </c>
      <c r="D30" s="13" t="s">
        <v>165</v>
      </c>
      <c r="E30" t="s">
        <v>166</v>
      </c>
      <c r="F30" s="1"/>
      <c r="G30" t="str">
        <f t="shared" si="0"/>
        <v>NET "SV2_28" LOC = P9 | IOSTANDARD = LVCMOS33;   # IO_L50N_3  ### SV2 Pin 28 ###</v>
      </c>
    </row>
    <row r="31" spans="1:7" x14ac:dyDescent="0.25">
      <c r="A31" s="2" t="s">
        <v>215</v>
      </c>
      <c r="B31" s="8" t="str">
        <f t="shared" si="1"/>
        <v>SV2_29</v>
      </c>
      <c r="C31" s="11">
        <v>29</v>
      </c>
      <c r="D31" s="13" t="s">
        <v>167</v>
      </c>
      <c r="E31" t="s">
        <v>168</v>
      </c>
      <c r="F31" s="1"/>
      <c r="G31" t="str">
        <f t="shared" si="0"/>
        <v>NET "SV2_29" LOC = P8 | IOSTANDARD = LVCMOS33;   # IO_L51P_3  ### SV2 Pin 29 ###</v>
      </c>
    </row>
    <row r="32" spans="1:7" x14ac:dyDescent="0.25">
      <c r="A32" s="2" t="s">
        <v>215</v>
      </c>
      <c r="B32" s="8" t="str">
        <f t="shared" si="1"/>
        <v>SV2_30</v>
      </c>
      <c r="C32" s="11">
        <v>30</v>
      </c>
      <c r="D32" s="13" t="s">
        <v>169</v>
      </c>
      <c r="E32" t="s">
        <v>170</v>
      </c>
      <c r="F32" s="1"/>
      <c r="G32" t="str">
        <f t="shared" si="0"/>
        <v>NET "SV2_30" LOC = P7 | IOSTANDARD = LVCMOS33;   # IO_L51N_3  ### SV2 Pin 30 ###</v>
      </c>
    </row>
    <row r="33" spans="1:7" x14ac:dyDescent="0.25">
      <c r="A33" s="2" t="s">
        <v>215</v>
      </c>
      <c r="B33" s="8" t="str">
        <f t="shared" si="1"/>
        <v>SV2_31</v>
      </c>
      <c r="C33" s="11">
        <v>31</v>
      </c>
      <c r="D33" s="13" t="s">
        <v>171</v>
      </c>
      <c r="E33" t="s">
        <v>172</v>
      </c>
      <c r="F33" s="1"/>
      <c r="G33" t="str">
        <f t="shared" si="0"/>
        <v>NET "SV2_31" LOC = P6 | IOSTANDARD = LVCMOS33;   # IO_L52P_3  ### SV2 Pin 31 ###</v>
      </c>
    </row>
    <row r="34" spans="1:7" x14ac:dyDescent="0.25">
      <c r="A34" s="2" t="s">
        <v>215</v>
      </c>
      <c r="B34" s="8" t="s">
        <v>303</v>
      </c>
      <c r="C34" s="11">
        <v>32</v>
      </c>
      <c r="D34" s="13" t="s">
        <v>173</v>
      </c>
      <c r="E34" t="s">
        <v>174</v>
      </c>
      <c r="F34" s="1"/>
      <c r="G34" t="str">
        <f t="shared" si="0"/>
        <v>NET "COIN" LOC = P5 | IOSTANDARD = LVCMOS33;   # IO_L52N_3  ### SV2 Pin 32 ###</v>
      </c>
    </row>
    <row r="35" spans="1:7" x14ac:dyDescent="0.25">
      <c r="A35" s="2" t="s">
        <v>215</v>
      </c>
      <c r="B35" s="8" t="s">
        <v>304</v>
      </c>
      <c r="C35" s="11">
        <v>33</v>
      </c>
      <c r="D35" s="13" t="s">
        <v>175</v>
      </c>
      <c r="E35" t="s">
        <v>176</v>
      </c>
      <c r="F35" s="1"/>
      <c r="G35" t="str">
        <f t="shared" si="0"/>
        <v>NET "START_1" LOC = P2 | IOSTANDARD = LVCMOS33;   # IO_L83P_3  ### SV2 Pin 33 ###</v>
      </c>
    </row>
    <row r="36" spans="1:7" x14ac:dyDescent="0.25">
      <c r="A36" s="2" t="s">
        <v>215</v>
      </c>
      <c r="B36" s="8" t="s">
        <v>305</v>
      </c>
      <c r="C36" s="11">
        <v>34</v>
      </c>
      <c r="D36" s="13" t="s">
        <v>177</v>
      </c>
      <c r="E36" t="s">
        <v>178</v>
      </c>
      <c r="F36" s="1"/>
      <c r="G36" t="str">
        <f t="shared" si="0"/>
        <v>NET "LEFT" LOC = P1 | IOSTANDARD = LVCMOS33;   # IO_L83N_VREF_3  ### SV2 Pin 34 ###</v>
      </c>
    </row>
    <row r="37" spans="1:7" x14ac:dyDescent="0.25">
      <c r="A37" s="2" t="s">
        <v>215</v>
      </c>
      <c r="B37" s="8" t="s">
        <v>306</v>
      </c>
      <c r="C37" s="11">
        <v>35</v>
      </c>
      <c r="D37" s="13" t="s">
        <v>0</v>
      </c>
      <c r="E37" t="s">
        <v>1</v>
      </c>
      <c r="F37" s="1"/>
      <c r="G37" t="str">
        <f t="shared" si="0"/>
        <v>NET "RIGHT" LOC = P144 | IOSTANDARD = LVCMOS33;   # IO_L1P_HSWAPEN_0  ### SV2 Pin 35 ###</v>
      </c>
    </row>
    <row r="38" spans="1:7" x14ac:dyDescent="0.25">
      <c r="A38" s="2" t="s">
        <v>215</v>
      </c>
      <c r="B38" s="8" t="s">
        <v>307</v>
      </c>
      <c r="C38" s="11">
        <v>36</v>
      </c>
      <c r="D38" s="13" t="s">
        <v>2</v>
      </c>
      <c r="E38" t="s">
        <v>3</v>
      </c>
      <c r="F38" s="1"/>
      <c r="G38" t="str">
        <f t="shared" si="0"/>
        <v>NET "FIRE" LOC = P143 | IOSTANDARD = LVCMOS33;   # IO_L1N_VREF_0  ### SV2 Pin 36 ###</v>
      </c>
    </row>
    <row r="39" spans="1:7" x14ac:dyDescent="0.25">
      <c r="A39" s="2" t="s">
        <v>215</v>
      </c>
      <c r="B39" s="8" t="s">
        <v>308</v>
      </c>
      <c r="C39" s="11">
        <v>37</v>
      </c>
      <c r="D39" s="13" t="s">
        <v>4</v>
      </c>
      <c r="E39" t="s">
        <v>5</v>
      </c>
      <c r="F39" s="1"/>
      <c r="G39" t="str">
        <f t="shared" si="0"/>
        <v>NET "START_2" LOC = P142 | IOSTANDARD = LVCMOS33;   # IO_L2P_0  ### SV2 Pin 37 ###</v>
      </c>
    </row>
    <row r="40" spans="1:7" x14ac:dyDescent="0.25">
      <c r="A40" s="2" t="s">
        <v>215</v>
      </c>
      <c r="B40" s="8" t="s">
        <v>309</v>
      </c>
      <c r="C40" s="11">
        <v>38</v>
      </c>
      <c r="D40" s="13" t="s">
        <v>6</v>
      </c>
      <c r="E40" t="s">
        <v>7</v>
      </c>
      <c r="F40" s="1"/>
      <c r="G40" t="str">
        <f t="shared" si="0"/>
        <v>NET "UP" LOC = P141 | IOSTANDARD = LVCMOS33;   # IO_L2N_0  ### SV2 Pin 38 ###</v>
      </c>
    </row>
    <row r="41" spans="1:7" x14ac:dyDescent="0.25">
      <c r="A41" s="2" t="s">
        <v>215</v>
      </c>
      <c r="B41" s="8" t="s">
        <v>310</v>
      </c>
      <c r="C41" s="11">
        <v>39</v>
      </c>
      <c r="D41" s="13" t="s">
        <v>8</v>
      </c>
      <c r="E41" t="s">
        <v>9</v>
      </c>
      <c r="F41" s="1"/>
      <c r="G41" t="str">
        <f t="shared" si="0"/>
        <v>NET "DOWN" LOC = P140 | IOSTANDARD = LVCMOS33;   # IO_L3P_0  ### SV2 Pin 39 ###</v>
      </c>
    </row>
    <row r="42" spans="1:7" x14ac:dyDescent="0.25">
      <c r="A42" s="2" t="s">
        <v>215</v>
      </c>
      <c r="B42" s="8" t="str">
        <f t="shared" si="1"/>
        <v>SV2_40</v>
      </c>
      <c r="C42" s="11">
        <v>40</v>
      </c>
      <c r="D42" s="13" t="s">
        <v>10</v>
      </c>
      <c r="E42" t="s">
        <v>11</v>
      </c>
      <c r="F42" s="1"/>
      <c r="G42" t="str">
        <f t="shared" si="0"/>
        <v>NET "SV2_40" LOC = P139 | IOSTANDARD = LVCMOS33;   # IO_L3N_0  ### SV2 Pin 40 ###</v>
      </c>
    </row>
    <row r="43" spans="1:7" x14ac:dyDescent="0.25">
      <c r="A43" s="2" t="s">
        <v>215</v>
      </c>
      <c r="B43" s="8" t="s">
        <v>325</v>
      </c>
      <c r="C43" s="11">
        <v>41</v>
      </c>
      <c r="D43" s="13" t="s">
        <v>12</v>
      </c>
      <c r="E43" t="s">
        <v>13</v>
      </c>
      <c r="F43" s="1"/>
      <c r="G43" t="str">
        <f t="shared" si="0"/>
        <v>NET "AUDIO_PWM" LOC = P138 | IOSTANDARD = LVCMOS33;   # IO_L4P_0  ### SV2 Pin 41 ###</v>
      </c>
    </row>
    <row r="44" spans="1:7" x14ac:dyDescent="0.25">
      <c r="A44" s="2" t="s">
        <v>215</v>
      </c>
      <c r="B44" s="8" t="str">
        <f t="shared" si="1"/>
        <v>SV2_42</v>
      </c>
      <c r="C44" s="11">
        <v>42</v>
      </c>
      <c r="D44" s="13" t="s">
        <v>14</v>
      </c>
      <c r="E44" t="s">
        <v>15</v>
      </c>
      <c r="F44" s="1"/>
      <c r="G44" t="str">
        <f t="shared" si="0"/>
        <v>NET "SV2_42" LOC = P137 | IOSTANDARD = LVCMOS33;   # IO_L4N_0  ### SV2 Pin 42 ###</v>
      </c>
    </row>
    <row r="45" spans="1:7" x14ac:dyDescent="0.25">
      <c r="A45" s="2" t="s">
        <v>215</v>
      </c>
      <c r="B45" s="8" t="s">
        <v>326</v>
      </c>
      <c r="C45" s="11">
        <v>43</v>
      </c>
      <c r="D45" s="13" t="s">
        <v>16</v>
      </c>
      <c r="E45" s="6" t="s">
        <v>17</v>
      </c>
      <c r="F45" s="32" t="s">
        <v>262</v>
      </c>
      <c r="G45" t="str">
        <f t="shared" si="0"/>
        <v>NET "LED(0)" LOC = P134 | IOSTANDARD = LVCMOS33;   # IO_L34P_GCLK19_0  ### SV2 Pin 43 ###</v>
      </c>
    </row>
    <row r="46" spans="1:7" x14ac:dyDescent="0.25">
      <c r="A46" s="2" t="s">
        <v>215</v>
      </c>
      <c r="B46" s="8" t="s">
        <v>311</v>
      </c>
      <c r="C46" s="11">
        <v>44</v>
      </c>
      <c r="D46" s="13" t="s">
        <v>18</v>
      </c>
      <c r="E46" s="6" t="s">
        <v>19</v>
      </c>
      <c r="F46" s="32" t="s">
        <v>263</v>
      </c>
      <c r="G46" t="str">
        <f t="shared" si="0"/>
        <v>NET "LED(1)" LOC = P133 | IOSTANDARD = LVCMOS33;   # IO_L34N_GCLK18_0  ### SV2 Pin 44 ###</v>
      </c>
    </row>
    <row r="47" spans="1:7" x14ac:dyDescent="0.25">
      <c r="A47" s="2" t="s">
        <v>215</v>
      </c>
      <c r="B47" s="8" t="s">
        <v>312</v>
      </c>
      <c r="C47" s="11">
        <v>45</v>
      </c>
      <c r="D47" s="13" t="s">
        <v>20</v>
      </c>
      <c r="E47" s="6" t="s">
        <v>21</v>
      </c>
      <c r="F47" s="32" t="s">
        <v>264</v>
      </c>
      <c r="G47" t="str">
        <f t="shared" si="0"/>
        <v>NET "LED(2)" LOC = P132 | IOSTANDARD = LVCMOS33;   # IO_L35P_GCLK17_0  ### SV2 Pin 45 ###</v>
      </c>
    </row>
    <row r="48" spans="1:7" x14ac:dyDescent="0.25">
      <c r="A48" s="2" t="s">
        <v>215</v>
      </c>
      <c r="B48" s="8" t="s">
        <v>313</v>
      </c>
      <c r="C48" s="11">
        <v>46</v>
      </c>
      <c r="D48" s="13" t="s">
        <v>22</v>
      </c>
      <c r="E48" s="6" t="s">
        <v>23</v>
      </c>
      <c r="F48" s="32" t="s">
        <v>265</v>
      </c>
      <c r="G48" t="str">
        <f t="shared" si="0"/>
        <v>NET "LED(3)" LOC = P131 | IOSTANDARD = LVCMOS33;   # IO_L35N_GCLK16_0  ### SV2 Pin 46 ###</v>
      </c>
    </row>
    <row r="49" spans="1:7" x14ac:dyDescent="0.25">
      <c r="A49" s="2" t="s">
        <v>215</v>
      </c>
      <c r="B49" s="8" t="s">
        <v>314</v>
      </c>
      <c r="C49" s="11">
        <v>47</v>
      </c>
      <c r="D49" s="13" t="s">
        <v>24</v>
      </c>
      <c r="E49" s="6" t="s">
        <v>25</v>
      </c>
      <c r="F49" s="32" t="s">
        <v>266</v>
      </c>
      <c r="G49" t="str">
        <f t="shared" si="0"/>
        <v>NET "LED(4)" LOC = P127 | IOSTANDARD = LVCMOS33;   # IO_L36P_GCLK15_0  ### SV2 Pin 47 ###</v>
      </c>
    </row>
    <row r="50" spans="1:7" x14ac:dyDescent="0.25">
      <c r="A50" s="2" t="s">
        <v>215</v>
      </c>
      <c r="B50" s="8" t="s">
        <v>315</v>
      </c>
      <c r="C50" s="11">
        <v>48</v>
      </c>
      <c r="D50" s="13" t="s">
        <v>26</v>
      </c>
      <c r="E50" s="6" t="s">
        <v>27</v>
      </c>
      <c r="F50" s="32" t="s">
        <v>267</v>
      </c>
      <c r="G50" t="str">
        <f t="shared" si="0"/>
        <v>NET "LED(5)" LOC = P126 | IOSTANDARD = LVCMOS33;   # IO_L36N_GCLK14_0  ### SV2 Pin 48 ###</v>
      </c>
    </row>
    <row r="51" spans="1:7" x14ac:dyDescent="0.25">
      <c r="A51" s="2" t="s">
        <v>215</v>
      </c>
      <c r="B51" s="8" t="s">
        <v>316</v>
      </c>
      <c r="C51" s="11">
        <v>49</v>
      </c>
      <c r="D51" s="13" t="s">
        <v>28</v>
      </c>
      <c r="E51" s="6" t="s">
        <v>29</v>
      </c>
      <c r="F51" s="32" t="s">
        <v>268</v>
      </c>
      <c r="G51" t="str">
        <f t="shared" si="0"/>
        <v>NET "LED(6)" LOC = P124 | IOSTANDARD = LVCMOS33;   # IO_L37P_GCLK13_0  ### SV2 Pin 49 ###</v>
      </c>
    </row>
    <row r="52" spans="1:7" x14ac:dyDescent="0.25">
      <c r="A52" s="2" t="s">
        <v>215</v>
      </c>
      <c r="B52" s="8" t="s">
        <v>317</v>
      </c>
      <c r="C52" s="11">
        <v>50</v>
      </c>
      <c r="D52" s="13" t="s">
        <v>30</v>
      </c>
      <c r="E52" s="6" t="s">
        <v>31</v>
      </c>
      <c r="F52" s="32" t="s">
        <v>269</v>
      </c>
      <c r="G52" t="str">
        <f t="shared" si="0"/>
        <v>NET "LED(7)" LOC = P123 | IOSTANDARD = LVCMOS33;   # IO_L37N_GCLK12_0  ### SV2 Pin 50 ###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workbookViewId="0">
      <selection activeCell="I30" sqref="I30"/>
    </sheetView>
  </sheetViews>
  <sheetFormatPr baseColWidth="10" defaultRowHeight="15" x14ac:dyDescent="0.25"/>
  <cols>
    <col min="1" max="3" width="11.42578125" style="1"/>
    <col min="4" max="4" width="27.140625" style="20" customWidth="1"/>
    <col min="5" max="5" width="10.140625" style="1" customWidth="1"/>
    <col min="6" max="6" width="3.5703125" style="1" customWidth="1"/>
    <col min="7" max="7" width="4.5703125" style="28" customWidth="1"/>
    <col min="8" max="8" width="8" style="1" customWidth="1"/>
    <col min="9" max="9" width="80.85546875" style="1" customWidth="1"/>
    <col min="10" max="10" width="4.5703125" style="28" customWidth="1"/>
    <col min="11" max="11" width="7" style="1" customWidth="1"/>
    <col min="12" max="12" width="72.28515625" customWidth="1"/>
    <col min="13" max="13" width="4.5703125" style="28" customWidth="1"/>
    <col min="14" max="14" width="12.42578125" style="1" customWidth="1"/>
    <col min="15" max="15" width="82.7109375" customWidth="1"/>
    <col min="16" max="16384" width="11.42578125" style="1"/>
  </cols>
  <sheetData>
    <row r="1" spans="1:15" s="4" customFormat="1" x14ac:dyDescent="0.25">
      <c r="A1" s="4" t="s">
        <v>216</v>
      </c>
      <c r="B1" s="4" t="s">
        <v>217</v>
      </c>
      <c r="C1" s="4" t="s">
        <v>219</v>
      </c>
      <c r="D1" s="19" t="s">
        <v>179</v>
      </c>
      <c r="E1" s="18" t="s">
        <v>242</v>
      </c>
      <c r="F1" s="18"/>
      <c r="G1" s="27" t="s">
        <v>261</v>
      </c>
      <c r="H1" s="26" t="s">
        <v>260</v>
      </c>
      <c r="I1" s="4" t="s">
        <v>280</v>
      </c>
      <c r="J1" s="27"/>
      <c r="K1" s="26"/>
      <c r="M1" s="27"/>
      <c r="N1" s="26"/>
    </row>
    <row r="2" spans="1:15" x14ac:dyDescent="0.25">
      <c r="A2" s="2" t="s">
        <v>215</v>
      </c>
      <c r="B2" s="11">
        <v>15</v>
      </c>
      <c r="C2" s="11" t="s">
        <v>139</v>
      </c>
      <c r="D2" s="20" t="s">
        <v>140</v>
      </c>
      <c r="E2" s="1">
        <v>3</v>
      </c>
      <c r="G2" s="27" t="s">
        <v>243</v>
      </c>
      <c r="H2" s="4">
        <v>7</v>
      </c>
      <c r="I2" s="20" t="str">
        <f t="shared" ref="I2:I20" si="0" xml:space="preserve"> CONCATENATE("NET """,G2,"&lt;",H2,"&gt;"" LOC = ",$C2," | IOSTANDARD = LVCMOS33;  # ",$D2,", ",$A2," Pin ",$B2)</f>
        <v>NET "A&lt;7&gt;" LOC = P27 | IOSTANDARD = LVCMOS33;  # IO_L37P_3 , SV2 Pin 15</v>
      </c>
      <c r="J2" s="27"/>
      <c r="K2" s="4"/>
      <c r="L2" s="20"/>
      <c r="M2" s="27"/>
      <c r="N2" s="4"/>
      <c r="O2" s="20"/>
    </row>
    <row r="3" spans="1:15" x14ac:dyDescent="0.25">
      <c r="A3" s="2" t="s">
        <v>215</v>
      </c>
      <c r="B3" s="11">
        <v>17</v>
      </c>
      <c r="C3" s="11" t="s">
        <v>143</v>
      </c>
      <c r="D3" s="20" t="s">
        <v>144</v>
      </c>
      <c r="E3" s="1">
        <v>4</v>
      </c>
      <c r="G3" s="27" t="s">
        <v>243</v>
      </c>
      <c r="H3" s="4">
        <v>6</v>
      </c>
      <c r="I3" s="20" t="str">
        <f t="shared" si="0"/>
        <v>NET "A&lt;6&gt;" LOC = P24 | IOSTANDARD = LVCMOS33;  # IO_L41P_GCLK27_3 , SV2 Pin 17</v>
      </c>
      <c r="J3" s="27"/>
      <c r="K3" s="4"/>
      <c r="L3" s="20"/>
      <c r="M3" s="27"/>
      <c r="N3" s="4"/>
      <c r="O3" s="20"/>
    </row>
    <row r="4" spans="1:15" x14ac:dyDescent="0.25">
      <c r="A4" s="2" t="s">
        <v>215</v>
      </c>
      <c r="B4" s="11">
        <v>19</v>
      </c>
      <c r="C4" s="11" t="s">
        <v>147</v>
      </c>
      <c r="D4" s="20" t="s">
        <v>148</v>
      </c>
      <c r="E4" s="1">
        <v>5</v>
      </c>
      <c r="G4" s="27" t="s">
        <v>243</v>
      </c>
      <c r="H4" s="4">
        <v>5</v>
      </c>
      <c r="I4" s="20" t="str">
        <f t="shared" si="0"/>
        <v>NET "A&lt;5&gt;" LOC = P22 | IOSTANDARD = LVCMOS33;  # IO_L42P_GCLK25_TRDY2_3 , SV2 Pin 19</v>
      </c>
      <c r="J4" s="27"/>
      <c r="K4" s="4"/>
      <c r="L4" s="20"/>
      <c r="M4" s="27"/>
      <c r="N4" s="4"/>
      <c r="O4" s="20"/>
    </row>
    <row r="5" spans="1:15" x14ac:dyDescent="0.25">
      <c r="A5" s="2" t="s">
        <v>215</v>
      </c>
      <c r="B5" s="11">
        <v>21</v>
      </c>
      <c r="C5" s="11" t="s">
        <v>151</v>
      </c>
      <c r="D5" s="20" t="s">
        <v>152</v>
      </c>
      <c r="E5" s="1">
        <v>6</v>
      </c>
      <c r="G5" s="27" t="s">
        <v>243</v>
      </c>
      <c r="H5" s="4">
        <v>4</v>
      </c>
      <c r="I5" s="20" t="str">
        <f t="shared" si="0"/>
        <v>NET "A&lt;4&gt;" LOC = P17 | IOSTANDARD = LVCMOS33;  # IO_L43P_GCLK23_3 , SV2 Pin 21</v>
      </c>
      <c r="J5" s="27"/>
      <c r="K5" s="4"/>
      <c r="L5" s="20"/>
      <c r="M5" s="27"/>
      <c r="N5" s="4"/>
      <c r="O5" s="20"/>
    </row>
    <row r="6" spans="1:15" x14ac:dyDescent="0.25">
      <c r="A6" s="2" t="s">
        <v>215</v>
      </c>
      <c r="B6" s="11">
        <v>23</v>
      </c>
      <c r="C6" s="11" t="s">
        <v>155</v>
      </c>
      <c r="D6" s="20" t="s">
        <v>156</v>
      </c>
      <c r="E6" s="1">
        <v>7</v>
      </c>
      <c r="G6" s="27" t="s">
        <v>243</v>
      </c>
      <c r="H6" s="4">
        <v>3</v>
      </c>
      <c r="I6" s="20" t="str">
        <f t="shared" si="0"/>
        <v>NET "A&lt;3&gt;" LOC = P15 | IOSTANDARD = LVCMOS33;  # IO_L44P_GCLK21_3 , SV2 Pin 23</v>
      </c>
      <c r="J6" s="27"/>
      <c r="K6" s="4"/>
      <c r="L6" s="20"/>
      <c r="M6" s="27"/>
      <c r="N6" s="4"/>
      <c r="O6" s="20"/>
    </row>
    <row r="7" spans="1:15" x14ac:dyDescent="0.25">
      <c r="A7" s="2" t="s">
        <v>215</v>
      </c>
      <c r="B7" s="11">
        <v>25</v>
      </c>
      <c r="C7" s="11" t="s">
        <v>159</v>
      </c>
      <c r="D7" s="20" t="s">
        <v>160</v>
      </c>
      <c r="E7" s="1">
        <v>8</v>
      </c>
      <c r="G7" s="27" t="s">
        <v>243</v>
      </c>
      <c r="H7" s="4">
        <v>2</v>
      </c>
      <c r="I7" s="20" t="str">
        <f t="shared" si="0"/>
        <v>NET "A&lt;2&gt;" LOC = P12 | IOSTANDARD = LVCMOS33;  # IO_L49P_3 , SV2 Pin 25</v>
      </c>
      <c r="J7" s="27"/>
      <c r="K7" s="4"/>
      <c r="L7" s="20"/>
      <c r="M7" s="27"/>
      <c r="N7" s="4"/>
      <c r="O7" s="20"/>
    </row>
    <row r="8" spans="1:15" x14ac:dyDescent="0.25">
      <c r="A8" s="2" t="s">
        <v>215</v>
      </c>
      <c r="B8" s="11">
        <v>27</v>
      </c>
      <c r="C8" s="11" t="s">
        <v>163</v>
      </c>
      <c r="D8" s="20" t="s">
        <v>164</v>
      </c>
      <c r="E8" s="1">
        <v>9</v>
      </c>
      <c r="G8" s="27" t="s">
        <v>243</v>
      </c>
      <c r="H8" s="4">
        <v>1</v>
      </c>
      <c r="I8" s="20" t="str">
        <f t="shared" si="0"/>
        <v>NET "A&lt;1&gt;" LOC = P10 | IOSTANDARD = LVCMOS33;  # IO_L50P_3 , SV2 Pin 27</v>
      </c>
      <c r="J8" s="27"/>
      <c r="K8" s="4"/>
      <c r="L8" s="20"/>
      <c r="M8" s="27"/>
      <c r="N8" s="4"/>
      <c r="O8" s="20"/>
    </row>
    <row r="9" spans="1:15" x14ac:dyDescent="0.25">
      <c r="A9" s="2" t="s">
        <v>215</v>
      </c>
      <c r="B9" s="11">
        <v>29</v>
      </c>
      <c r="C9" s="11" t="s">
        <v>167</v>
      </c>
      <c r="D9" s="20" t="s">
        <v>168</v>
      </c>
      <c r="E9" s="1">
        <v>10</v>
      </c>
      <c r="G9" s="27" t="s">
        <v>243</v>
      </c>
      <c r="H9" s="4">
        <v>0</v>
      </c>
      <c r="I9" s="20" t="str">
        <f t="shared" si="0"/>
        <v>NET "A&lt;0&gt;" LOC = P8 | IOSTANDARD = LVCMOS33;  # IO_L51P_3 , SV2 Pin 29</v>
      </c>
      <c r="J9" s="27"/>
      <c r="K9" s="4"/>
      <c r="L9" s="20"/>
      <c r="M9" s="27"/>
      <c r="N9" s="4"/>
      <c r="O9" s="20"/>
    </row>
    <row r="10" spans="1:15" x14ac:dyDescent="0.25">
      <c r="A10" s="2" t="s">
        <v>215</v>
      </c>
      <c r="B10" s="11">
        <v>31</v>
      </c>
      <c r="C10" s="11" t="s">
        <v>171</v>
      </c>
      <c r="D10" s="20" t="s">
        <v>172</v>
      </c>
      <c r="E10" s="1">
        <v>11</v>
      </c>
      <c r="G10" s="27" t="s">
        <v>244</v>
      </c>
      <c r="H10" s="4">
        <v>0</v>
      </c>
      <c r="I10" s="20" t="str">
        <f t="shared" si="0"/>
        <v>NET "D&lt;0&gt;" LOC = P6 | IOSTANDARD = LVCMOS33;  # IO_L52P_3 , SV2 Pin 31</v>
      </c>
      <c r="J10" s="27"/>
      <c r="K10" s="4"/>
      <c r="L10" s="20"/>
      <c r="M10" s="27"/>
      <c r="N10" s="4"/>
      <c r="O10" s="20"/>
    </row>
    <row r="11" spans="1:15" x14ac:dyDescent="0.25">
      <c r="A11" s="2" t="s">
        <v>215</v>
      </c>
      <c r="B11" s="11">
        <v>33</v>
      </c>
      <c r="C11" s="11" t="s">
        <v>175</v>
      </c>
      <c r="D11" s="20" t="s">
        <v>176</v>
      </c>
      <c r="E11" s="1">
        <v>12</v>
      </c>
      <c r="G11" s="27" t="s">
        <v>244</v>
      </c>
      <c r="H11" s="4">
        <v>1</v>
      </c>
      <c r="I11" s="20" t="str">
        <f t="shared" si="0"/>
        <v>NET "D&lt;1&gt;" LOC = P2 | IOSTANDARD = LVCMOS33;  # IO_L83P_3 , SV2 Pin 33</v>
      </c>
      <c r="J11" s="27"/>
      <c r="K11" s="4"/>
      <c r="L11" s="20"/>
      <c r="M11" s="27"/>
      <c r="N11" s="4"/>
      <c r="O11" s="20"/>
    </row>
    <row r="12" spans="1:15" x14ac:dyDescent="0.25">
      <c r="A12" s="2" t="s">
        <v>215</v>
      </c>
      <c r="B12" s="11">
        <v>35</v>
      </c>
      <c r="C12" s="11" t="s">
        <v>0</v>
      </c>
      <c r="D12" s="20" t="s">
        <v>1</v>
      </c>
      <c r="E12" s="1">
        <v>13</v>
      </c>
      <c r="G12" s="27" t="s">
        <v>244</v>
      </c>
      <c r="H12" s="4">
        <v>2</v>
      </c>
      <c r="I12" s="20" t="str">
        <f t="shared" si="0"/>
        <v>NET "D&lt;2&gt;" LOC = P144 | IOSTANDARD = LVCMOS33;  # IO_L1P_HSWAPEN_0 , SV2 Pin 35</v>
      </c>
      <c r="J12" s="27"/>
      <c r="K12" s="4"/>
      <c r="L12" s="20"/>
      <c r="M12" s="27"/>
      <c r="N12" s="4"/>
      <c r="O12" s="20"/>
    </row>
    <row r="13" spans="1:15" x14ac:dyDescent="0.25">
      <c r="A13" s="2" t="s">
        <v>215</v>
      </c>
      <c r="B13" s="11">
        <v>38</v>
      </c>
      <c r="C13" s="11" t="s">
        <v>6</v>
      </c>
      <c r="D13" s="20" t="s">
        <v>7</v>
      </c>
      <c r="E13" s="1">
        <v>15</v>
      </c>
      <c r="G13" s="27" t="s">
        <v>244</v>
      </c>
      <c r="H13" s="4">
        <v>3</v>
      </c>
      <c r="I13" s="20" t="str">
        <f t="shared" si="0"/>
        <v>NET "D&lt;3&gt;" LOC = P141 | IOSTANDARD = LVCMOS33;  # IO_L2N_0 , SV2 Pin 38</v>
      </c>
      <c r="J13" s="27"/>
      <c r="K13" s="4"/>
      <c r="L13" s="20"/>
      <c r="M13" s="27"/>
      <c r="N13" s="4"/>
      <c r="O13" s="20"/>
    </row>
    <row r="14" spans="1:15" x14ac:dyDescent="0.25">
      <c r="A14" s="2" t="s">
        <v>215</v>
      </c>
      <c r="B14" s="11">
        <v>36</v>
      </c>
      <c r="C14" s="11" t="s">
        <v>2</v>
      </c>
      <c r="D14" s="20" t="s">
        <v>3</v>
      </c>
      <c r="E14" s="1">
        <v>16</v>
      </c>
      <c r="G14" s="27" t="s">
        <v>244</v>
      </c>
      <c r="H14" s="4">
        <v>4</v>
      </c>
      <c r="I14" s="20" t="str">
        <f t="shared" si="0"/>
        <v>NET "D&lt;4&gt;" LOC = P143 | IOSTANDARD = LVCMOS33;  # IO_L1N_VREF_0 , SV2 Pin 36</v>
      </c>
      <c r="J14" s="27"/>
      <c r="K14" s="4"/>
      <c r="L14" s="20"/>
      <c r="M14" s="27"/>
      <c r="N14" s="4"/>
      <c r="O14" s="20"/>
    </row>
    <row r="15" spans="1:15" x14ac:dyDescent="0.25">
      <c r="A15" s="2" t="s">
        <v>215</v>
      </c>
      <c r="B15" s="11">
        <v>34</v>
      </c>
      <c r="C15" s="11" t="s">
        <v>177</v>
      </c>
      <c r="D15" s="20" t="s">
        <v>178</v>
      </c>
      <c r="E15" s="1">
        <v>17</v>
      </c>
      <c r="G15" s="27" t="s">
        <v>244</v>
      </c>
      <c r="H15" s="4">
        <v>5</v>
      </c>
      <c r="I15" s="20" t="str">
        <f t="shared" si="0"/>
        <v>NET "D&lt;5&gt;" LOC = P1 | IOSTANDARD = LVCMOS33;  # IO_L83N_VREF_3 , SV2 Pin 34</v>
      </c>
      <c r="J15" s="27"/>
      <c r="K15" s="4"/>
      <c r="L15" s="20"/>
      <c r="M15" s="27"/>
      <c r="N15" s="4"/>
      <c r="O15" s="20"/>
    </row>
    <row r="16" spans="1:15" x14ac:dyDescent="0.25">
      <c r="A16" s="2" t="s">
        <v>215</v>
      </c>
      <c r="B16" s="11">
        <v>32</v>
      </c>
      <c r="C16" s="11" t="s">
        <v>173</v>
      </c>
      <c r="D16" s="20" t="s">
        <v>174</v>
      </c>
      <c r="E16" s="1">
        <v>18</v>
      </c>
      <c r="G16" s="27" t="s">
        <v>244</v>
      </c>
      <c r="H16" s="4">
        <v>6</v>
      </c>
      <c r="I16" s="20" t="str">
        <f t="shared" si="0"/>
        <v>NET "D&lt;6&gt;" LOC = P5 | IOSTANDARD = LVCMOS33;  # IO_L52N_3 , SV2 Pin 32</v>
      </c>
      <c r="J16" s="27"/>
      <c r="K16" s="4"/>
      <c r="L16" s="20"/>
      <c r="M16" s="27"/>
      <c r="N16" s="4"/>
      <c r="O16" s="20"/>
    </row>
    <row r="17" spans="1:15" x14ac:dyDescent="0.25">
      <c r="A17" s="2" t="s">
        <v>215</v>
      </c>
      <c r="B17" s="11">
        <v>30</v>
      </c>
      <c r="C17" s="11" t="s">
        <v>169</v>
      </c>
      <c r="D17" s="20" t="s">
        <v>170</v>
      </c>
      <c r="E17" s="1">
        <v>19</v>
      </c>
      <c r="G17" s="27" t="s">
        <v>244</v>
      </c>
      <c r="H17" s="4">
        <v>7</v>
      </c>
      <c r="I17" s="20" t="str">
        <f t="shared" si="0"/>
        <v>NET "D&lt;7&gt;" LOC = P7 | IOSTANDARD = LVCMOS33;  # IO_L51N_3 , SV2 Pin 30</v>
      </c>
      <c r="J17" s="27"/>
      <c r="K17" s="4"/>
      <c r="L17" s="20"/>
      <c r="M17" s="27"/>
      <c r="N17" s="4"/>
      <c r="O17" s="20"/>
    </row>
    <row r="18" spans="1:15" x14ac:dyDescent="0.25">
      <c r="A18" s="2" t="s">
        <v>215</v>
      </c>
      <c r="B18" s="11">
        <v>26</v>
      </c>
      <c r="C18" s="11" t="s">
        <v>161</v>
      </c>
      <c r="D18" s="20" t="s">
        <v>162</v>
      </c>
      <c r="E18" s="1">
        <v>21</v>
      </c>
      <c r="G18" s="27" t="s">
        <v>243</v>
      </c>
      <c r="H18" s="4">
        <v>10</v>
      </c>
      <c r="I18" s="20" t="str">
        <f t="shared" si="0"/>
        <v>NET "A&lt;10&gt;" LOC = P11 | IOSTANDARD = LVCMOS33;  # IO_L49N_3 , SV2 Pin 26</v>
      </c>
      <c r="J18" s="27"/>
      <c r="K18" s="4"/>
      <c r="L18" s="20"/>
      <c r="M18" s="27"/>
      <c r="N18" s="4"/>
      <c r="O18" s="20"/>
    </row>
    <row r="19" spans="1:15" x14ac:dyDescent="0.25">
      <c r="A19" s="2" t="s">
        <v>215</v>
      </c>
      <c r="B19" s="11">
        <v>20</v>
      </c>
      <c r="C19" s="11" t="s">
        <v>149</v>
      </c>
      <c r="D19" s="20" t="s">
        <v>150</v>
      </c>
      <c r="E19" s="1">
        <v>24</v>
      </c>
      <c r="G19" s="27" t="s">
        <v>243</v>
      </c>
      <c r="H19" s="4">
        <v>9</v>
      </c>
      <c r="I19" s="20" t="str">
        <f t="shared" si="0"/>
        <v>NET "A&lt;9&gt;" LOC = P21 | IOSTANDARD = LVCMOS33;  # IO_L42N_GCLK24_3 , SV2 Pin 20</v>
      </c>
      <c r="J19" s="27"/>
      <c r="K19" s="4"/>
      <c r="L19" s="20"/>
      <c r="M19" s="27"/>
      <c r="N19" s="4"/>
      <c r="O19" s="20"/>
    </row>
    <row r="20" spans="1:15" x14ac:dyDescent="0.25">
      <c r="A20" s="2" t="s">
        <v>215</v>
      </c>
      <c r="B20" s="11">
        <v>18</v>
      </c>
      <c r="C20" s="11" t="s">
        <v>145</v>
      </c>
      <c r="D20" s="20" t="s">
        <v>146</v>
      </c>
      <c r="E20" s="1">
        <v>25</v>
      </c>
      <c r="G20" s="27" t="s">
        <v>243</v>
      </c>
      <c r="H20" s="4">
        <v>8</v>
      </c>
      <c r="I20" s="20" t="str">
        <f t="shared" si="0"/>
        <v>NET "A&lt;8&gt;" LOC = P23 | IOSTANDARD = LVCMOS33;  # IO_L41N_GCLK26_3 , SV2 Pin 18</v>
      </c>
      <c r="J20" s="27"/>
      <c r="K20" s="4"/>
      <c r="L20" s="20"/>
      <c r="M20" s="27"/>
      <c r="N20" s="4"/>
      <c r="O20" s="20"/>
    </row>
    <row r="21" spans="1:15" x14ac:dyDescent="0.25">
      <c r="L21" s="20"/>
    </row>
    <row r="22" spans="1:15" x14ac:dyDescent="0.25">
      <c r="A22" s="2" t="s">
        <v>215</v>
      </c>
      <c r="B22" s="11">
        <v>11</v>
      </c>
      <c r="C22" s="11" t="s">
        <v>131</v>
      </c>
      <c r="D22" s="20" t="s">
        <v>132</v>
      </c>
      <c r="E22" s="20">
        <v>1</v>
      </c>
      <c r="F22" s="14"/>
      <c r="G22" s="31"/>
      <c r="H22" s="30" t="s">
        <v>276</v>
      </c>
      <c r="I22" s="14" t="str">
        <f xml:space="preserve"> CONCATENATE("NET """,H22,""" LOC = ",$C22," | IOSTANDARD = LVCMOS33;  # ",$D22,", ",$A22," Pin ",$B22)</f>
        <v>NET "PIN_1" LOC = P33 | IOSTANDARD = LVCMOS33;  # IO_L2P_3 , SV2 Pin 11</v>
      </c>
      <c r="J22" s="27"/>
      <c r="K22" s="4"/>
      <c r="L22" s="20"/>
      <c r="M22" s="27"/>
      <c r="N22" s="4"/>
      <c r="O22" s="20"/>
    </row>
    <row r="23" spans="1:15" x14ac:dyDescent="0.25">
      <c r="A23" s="2" t="s">
        <v>215</v>
      </c>
      <c r="B23" s="11">
        <v>13</v>
      </c>
      <c r="C23" s="11" t="s">
        <v>135</v>
      </c>
      <c r="D23" s="20" t="s">
        <v>136</v>
      </c>
      <c r="E23" s="1">
        <v>2</v>
      </c>
      <c r="G23" s="27"/>
      <c r="H23" s="30" t="s">
        <v>278</v>
      </c>
      <c r="I23" s="14" t="str">
        <f t="shared" ref="I23:I24" si="1" xml:space="preserve"> CONCATENATE("NET """,H23,""" LOC = ",$C23," | IOSTANDARD = LVCMOS33;  # ",$D23,", ",$A23," Pin ",$B23)</f>
        <v>NET "PIN_2" LOC = P30 | IOSTANDARD = LVCMOS33;  # IO_L36P_3 , SV2 Pin 13</v>
      </c>
      <c r="J23" s="27"/>
      <c r="K23" s="4"/>
      <c r="L23" s="20"/>
      <c r="M23" s="27"/>
      <c r="N23" s="4"/>
      <c r="O23" s="20"/>
    </row>
    <row r="24" spans="1:15" x14ac:dyDescent="0.25">
      <c r="A24" s="2" t="s">
        <v>215</v>
      </c>
      <c r="B24" s="11">
        <v>16</v>
      </c>
      <c r="C24" s="11" t="s">
        <v>141</v>
      </c>
      <c r="D24" s="20" t="s">
        <v>142</v>
      </c>
      <c r="E24" s="1">
        <v>26</v>
      </c>
      <c r="G24" s="27"/>
      <c r="H24" s="30" t="s">
        <v>277</v>
      </c>
      <c r="I24" s="14" t="str">
        <f t="shared" si="1"/>
        <v>NET "PIN_26" LOC = P26 | IOSTANDARD = LVCMOS33;  # IO_L37N_3 , SV2 Pin 16</v>
      </c>
      <c r="J24" s="27"/>
      <c r="K24" s="4"/>
      <c r="L24" s="20"/>
      <c r="M24" s="27"/>
      <c r="N24" s="4"/>
      <c r="O24" s="20"/>
    </row>
    <row r="25" spans="1:15" x14ac:dyDescent="0.25">
      <c r="A25" s="2" t="s">
        <v>215</v>
      </c>
      <c r="B25" s="11">
        <v>14</v>
      </c>
      <c r="C25" s="11" t="s">
        <v>137</v>
      </c>
      <c r="D25" s="20" t="s">
        <v>138</v>
      </c>
      <c r="E25" s="20">
        <v>27</v>
      </c>
      <c r="F25" s="20"/>
      <c r="G25" s="31"/>
      <c r="H25" s="30" t="s">
        <v>275</v>
      </c>
      <c r="I25" s="14" t="str">
        <f xml:space="preserve"> CONCATENATE("NET """,H25,""" LOC = ",$C25," | IOSTANDARD = LVCMOS33 | PULLUP;  # ",$D25,", ",$A25," Pin ",$B25)</f>
        <v>NET "PIN_27" LOC = P29 | IOSTANDARD = LVCMOS33 | PULLUP;  # IO_L36N_3 , SV2 Pin 14</v>
      </c>
      <c r="J25" s="27"/>
      <c r="K25" s="4"/>
      <c r="L25" s="20"/>
      <c r="M25" s="27"/>
      <c r="N25" s="4"/>
      <c r="O25" s="20"/>
    </row>
    <row r="26" spans="1:15" x14ac:dyDescent="0.25">
      <c r="A26" s="20"/>
      <c r="B26" s="20"/>
      <c r="C26" s="20"/>
      <c r="E26" s="20"/>
      <c r="F26" s="14"/>
      <c r="G26" s="31"/>
      <c r="H26" s="19"/>
      <c r="I26" s="20"/>
      <c r="L26" s="20"/>
      <c r="O26" s="20"/>
    </row>
    <row r="27" spans="1:15" x14ac:dyDescent="0.25">
      <c r="A27" s="2" t="s">
        <v>215</v>
      </c>
      <c r="B27" s="11">
        <v>28</v>
      </c>
      <c r="C27" s="11" t="s">
        <v>165</v>
      </c>
      <c r="D27" s="20" t="s">
        <v>166</v>
      </c>
      <c r="E27" s="20">
        <v>20</v>
      </c>
      <c r="F27" s="14"/>
      <c r="G27" s="29"/>
      <c r="H27" s="30" t="s">
        <v>273</v>
      </c>
      <c r="I27" s="14" t="str">
        <f xml:space="preserve"> CONCATENATE("NET """,H27,""" LOC = ",$C27," | IOSTANDARD = LVCMOS33 | PULLUP;  # ",$D27,", ",$A27," Pin ",$B27)</f>
        <v>NET "PIN_22" LOC = P9 | IOSTANDARD = LVCMOS33 | PULLUP;  # IO_L50N_3 , SV2 Pin 28</v>
      </c>
      <c r="J27" s="27"/>
      <c r="K27" s="4"/>
      <c r="L27" s="20"/>
      <c r="M27" s="27"/>
      <c r="N27" s="4"/>
      <c r="O27" s="14"/>
    </row>
    <row r="28" spans="1:15" x14ac:dyDescent="0.25">
      <c r="A28" s="2" t="s">
        <v>215</v>
      </c>
      <c r="B28" s="11">
        <v>24</v>
      </c>
      <c r="C28" s="11" t="s">
        <v>157</v>
      </c>
      <c r="D28" s="20" t="s">
        <v>158</v>
      </c>
      <c r="E28" s="20">
        <v>22</v>
      </c>
      <c r="F28" s="14"/>
      <c r="G28" s="29"/>
      <c r="H28" s="30" t="s">
        <v>274</v>
      </c>
      <c r="I28" s="14" t="str">
        <f xml:space="preserve"> CONCATENATE("NET """,H28,""" LOC = ",$C28," | IOSTANDARD = LVCMOS33 | PULLUP;  # ",$D28,", ",$A28," Pin ",$B28)</f>
        <v>NET "PIN_20" LOC = P14 | IOSTANDARD = LVCMOS33 | PULLUP;  # IO_L44N_GCLK20_3 , SV2 Pin 24</v>
      </c>
      <c r="J28" s="27"/>
      <c r="K28" s="4"/>
      <c r="L28" s="20"/>
      <c r="M28" s="27"/>
      <c r="N28" s="4"/>
      <c r="O28" s="14"/>
    </row>
    <row r="29" spans="1:15" x14ac:dyDescent="0.25">
      <c r="A29" s="2" t="s">
        <v>215</v>
      </c>
      <c r="B29" s="11">
        <v>22</v>
      </c>
      <c r="C29" s="11" t="s">
        <v>153</v>
      </c>
      <c r="D29" s="20" t="s">
        <v>154</v>
      </c>
      <c r="E29" s="1">
        <v>23</v>
      </c>
      <c r="G29" s="27"/>
      <c r="H29" s="30" t="s">
        <v>279</v>
      </c>
      <c r="I29" s="14" t="str">
        <f xml:space="preserve"> CONCATENATE("NET """,H29,""" LOC = ",$C29," | IOSTANDARD = LVCMOS33 | PULLUP;  # ",$D29,", ",$A29," Pin ",$B29)</f>
        <v>NET "PIN_23" LOC = P16 | IOSTANDARD = LVCMOS33 | PULLUP;  # IO_L43N_GCLK22_IRDY2_3 , SV2 Pin 22</v>
      </c>
      <c r="J29" s="27"/>
      <c r="K29" s="4"/>
      <c r="L29" s="20"/>
      <c r="M29" s="27"/>
      <c r="N29" s="4"/>
      <c r="O29" s="20"/>
    </row>
    <row r="30" spans="1:15" x14ac:dyDescent="0.25">
      <c r="A30" s="20"/>
      <c r="B30" s="20"/>
      <c r="C30" s="20"/>
      <c r="E30" s="20"/>
      <c r="F30" s="14"/>
      <c r="G30" s="29"/>
      <c r="H30" s="30"/>
      <c r="I30" s="14"/>
      <c r="L30" s="20"/>
      <c r="O30" s="14"/>
    </row>
    <row r="31" spans="1:15" x14ac:dyDescent="0.25">
      <c r="A31" s="35"/>
      <c r="B31" s="20"/>
      <c r="C31" s="20"/>
      <c r="E31" s="20"/>
      <c r="F31" s="14"/>
      <c r="G31" s="29"/>
      <c r="H31" s="30"/>
      <c r="I31" s="14"/>
      <c r="J31" s="27"/>
      <c r="K31" s="4"/>
      <c r="L31" s="20"/>
      <c r="M31" s="27"/>
      <c r="N31" s="4"/>
      <c r="O31" s="14"/>
    </row>
    <row r="32" spans="1:15" x14ac:dyDescent="0.25">
      <c r="A32" s="35"/>
      <c r="B32" s="20"/>
      <c r="C32" s="20"/>
      <c r="E32" s="20"/>
      <c r="F32" s="14"/>
      <c r="G32" s="29"/>
      <c r="H32" s="30"/>
      <c r="I32" s="14"/>
      <c r="J32" s="27"/>
      <c r="K32" s="4"/>
      <c r="L32" s="20"/>
      <c r="M32" s="27"/>
      <c r="N32" s="4"/>
      <c r="O32" s="14"/>
    </row>
    <row r="33" spans="1:15" x14ac:dyDescent="0.25">
      <c r="A33" s="35"/>
      <c r="B33" s="20"/>
      <c r="C33" s="20"/>
      <c r="E33" s="20"/>
      <c r="F33" s="14"/>
      <c r="G33" s="29"/>
      <c r="H33" s="30"/>
      <c r="I33" s="14"/>
      <c r="L33" s="20"/>
      <c r="O33" s="14"/>
    </row>
    <row r="34" spans="1:15" x14ac:dyDescent="0.25">
      <c r="A34" s="35"/>
      <c r="B34" s="20"/>
      <c r="C34" s="20"/>
      <c r="E34" s="20"/>
      <c r="F34" s="14"/>
      <c r="G34" s="29"/>
      <c r="H34" s="30"/>
      <c r="I34" s="14"/>
      <c r="J34" s="27"/>
      <c r="K34" s="4"/>
      <c r="L34" s="20"/>
      <c r="M34" s="27"/>
      <c r="N34" s="4"/>
      <c r="O34" s="14"/>
    </row>
    <row r="35" spans="1:15" x14ac:dyDescent="0.25">
      <c r="A35" s="35"/>
      <c r="B35" s="20"/>
      <c r="C35" s="20"/>
      <c r="E35" s="20"/>
      <c r="F35" s="14"/>
      <c r="G35" s="29"/>
      <c r="H35" s="30"/>
      <c r="I35" s="14"/>
      <c r="J35" s="27"/>
      <c r="K35" s="4"/>
      <c r="L35" s="20"/>
      <c r="M35" s="27"/>
      <c r="N35" s="4"/>
      <c r="O35" s="14"/>
    </row>
    <row r="36" spans="1:15" x14ac:dyDescent="0.25">
      <c r="A36" s="35"/>
      <c r="B36" s="20"/>
      <c r="C36" s="20"/>
      <c r="E36" s="20"/>
      <c r="F36" s="14"/>
      <c r="G36" s="29"/>
      <c r="H36" s="30"/>
      <c r="I36" s="14"/>
      <c r="O36" s="14"/>
    </row>
    <row r="37" spans="1:15" x14ac:dyDescent="0.25">
      <c r="A37" s="35"/>
      <c r="B37" s="20"/>
      <c r="C37" s="20"/>
      <c r="E37" s="20"/>
      <c r="F37" s="14"/>
      <c r="G37" s="29"/>
      <c r="H37" s="30"/>
      <c r="I37" s="14"/>
      <c r="O37" s="14"/>
    </row>
    <row r="38" spans="1:15" x14ac:dyDescent="0.25">
      <c r="A38" s="35"/>
      <c r="B38" s="20"/>
      <c r="C38" s="20"/>
      <c r="E38" s="20"/>
      <c r="F38" s="14"/>
      <c r="G38" s="29"/>
      <c r="H38" s="30"/>
      <c r="I38" s="14"/>
      <c r="O38" s="14"/>
    </row>
    <row r="39" spans="1:15" x14ac:dyDescent="0.25">
      <c r="A39" s="35"/>
      <c r="B39" s="20"/>
      <c r="C39" s="20"/>
      <c r="E39" s="20"/>
      <c r="F39" s="14"/>
      <c r="G39" s="29"/>
      <c r="H39" s="30"/>
      <c r="I39" s="14"/>
      <c r="O39" s="14"/>
    </row>
    <row r="40" spans="1:15" x14ac:dyDescent="0.25">
      <c r="A40" s="35"/>
      <c r="B40" s="20"/>
      <c r="C40" s="20"/>
      <c r="E40" s="20"/>
      <c r="F40" s="14"/>
      <c r="G40" s="29"/>
      <c r="H40" s="30"/>
      <c r="I40" s="14"/>
    </row>
    <row r="41" spans="1:15" x14ac:dyDescent="0.25">
      <c r="A41" s="35"/>
      <c r="B41" s="20"/>
      <c r="C41" s="20"/>
      <c r="E41" s="20"/>
      <c r="F41" s="14"/>
      <c r="G41" s="29"/>
      <c r="H41" s="30"/>
      <c r="I41" s="14"/>
    </row>
  </sheetData>
  <sortState ref="A2:L33">
    <sortCondition ref="E2:E33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Nach FPGA Pin</vt:lpstr>
      <vt:lpstr>Nach SV Pin</vt:lpstr>
      <vt:lpstr>Custom SV2</vt:lpstr>
      <vt:lpstr>Nach EPROM-Pin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Carsten</dc:creator>
  <cp:lastModifiedBy>Carsten</cp:lastModifiedBy>
  <dcterms:created xsi:type="dcterms:W3CDTF">2026-08-11T12:40:07Z</dcterms:created>
  <dcterms:modified xsi:type="dcterms:W3CDTF">2026-09-08T14:48:55Z</dcterms:modified>
</cp:coreProperties>
</file>